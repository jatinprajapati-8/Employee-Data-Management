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hidePivotFieldList="1"/>
  <mc:AlternateContent xmlns:mc="http://schemas.openxmlformats.org/markup-compatibility/2006">
    <mc:Choice Requires="x15">
      <x15ac:absPath xmlns:x15ac="http://schemas.microsoft.com/office/spreadsheetml/2010/11/ac" url="/Users/jatin/Desktop/"/>
    </mc:Choice>
  </mc:AlternateContent>
  <xr:revisionPtr revIDLastSave="0" documentId="13_ncr:1_{883B582F-E1E0-454F-87BC-2ED423E467AE}" xr6:coauthVersionLast="47" xr6:coauthVersionMax="47" xr10:uidLastSave="{00000000-0000-0000-0000-000000000000}"/>
  <bookViews>
    <workbookView xWindow="0" yWindow="620" windowWidth="28800" windowHeight="15720" activeTab="1" xr2:uid="{00000000-000D-0000-FFFF-FFFF00000000}"/>
  </bookViews>
  <sheets>
    <sheet name="Employee Data" sheetId="1" r:id="rId1"/>
    <sheet name="Dashboard" sheetId="2" r:id="rId2"/>
  </sheets>
  <definedNames>
    <definedName name="Slicer_Department">#N/A</definedName>
    <definedName name="Slicer_Department1">#N/A</definedName>
    <definedName name="Slicer_Designation">#N/A</definedName>
    <definedName name="Slicer_Designation1">#N/A</definedName>
    <definedName name="Slicer_Experience__Years">#N/A</definedName>
  </definedNames>
  <calcPr calcId="191029"/>
  <pivotCaches>
    <pivotCache cacheId="9"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9" i="2" l="1"/>
  <c r="B9" i="2"/>
  <c r="E8" i="2"/>
  <c r="B8" i="2"/>
  <c r="E7" i="2"/>
  <c r="B7" i="2"/>
  <c r="H6" i="2"/>
  <c r="E6" i="2"/>
  <c r="B6" i="2"/>
  <c r="H5" i="2"/>
  <c r="E5" i="2"/>
  <c r="B5" i="2"/>
  <c r="H4" i="2"/>
  <c r="E4" i="2"/>
  <c r="B4" i="2"/>
</calcChain>
</file>

<file path=xl/sharedStrings.xml><?xml version="1.0" encoding="utf-8"?>
<sst xmlns="http://schemas.openxmlformats.org/spreadsheetml/2006/main" count="3280" uniqueCount="1222">
  <si>
    <t>Employee ID</t>
  </si>
  <si>
    <t>Name</t>
  </si>
  <si>
    <t>Department</t>
  </si>
  <si>
    <t>Designation</t>
  </si>
  <si>
    <t>Gender</t>
  </si>
  <si>
    <t>Date of Joining</t>
  </si>
  <si>
    <t>Salary</t>
  </si>
  <si>
    <t>City</t>
  </si>
  <si>
    <t>Experience (Years)</t>
  </si>
  <si>
    <t>Status</t>
  </si>
  <si>
    <t>EMP001</t>
  </si>
  <si>
    <t>Employee_1</t>
  </si>
  <si>
    <t>IT</t>
  </si>
  <si>
    <t>Analyst</t>
  </si>
  <si>
    <t>Other</t>
  </si>
  <si>
    <t>01/10/2024</t>
  </si>
  <si>
    <t>Chennai</t>
  </si>
  <si>
    <t>On Leave</t>
  </si>
  <si>
    <t>EMP002</t>
  </si>
  <si>
    <t>Employee_2</t>
  </si>
  <si>
    <t>Engineer</t>
  </si>
  <si>
    <t>24/08/2021</t>
  </si>
  <si>
    <t>Hyderabad</t>
  </si>
  <si>
    <t>EMP003</t>
  </si>
  <si>
    <t>Employee_3</t>
  </si>
  <si>
    <t>Finance</t>
  </si>
  <si>
    <t>Male</t>
  </si>
  <si>
    <t>27/02/2021</t>
  </si>
  <si>
    <t>Delhi</t>
  </si>
  <si>
    <t>EMP004</t>
  </si>
  <si>
    <t>Employee_4</t>
  </si>
  <si>
    <t>Marketing</t>
  </si>
  <si>
    <t>01/01/2017</t>
  </si>
  <si>
    <t>Pune</t>
  </si>
  <si>
    <t>EMP005</t>
  </si>
  <si>
    <t>Employee_5</t>
  </si>
  <si>
    <t>05/03/2023</t>
  </si>
  <si>
    <t>Kolkata</t>
  </si>
  <si>
    <t>Active</t>
  </si>
  <si>
    <t>EMP006</t>
  </si>
  <si>
    <t>Employee_6</t>
  </si>
  <si>
    <t>16/12/2018</t>
  </si>
  <si>
    <t>Bangalore</t>
  </si>
  <si>
    <t>EMP007</t>
  </si>
  <si>
    <t>Employee_7</t>
  </si>
  <si>
    <t>Sales</t>
  </si>
  <si>
    <t>Female</t>
  </si>
  <si>
    <t>15/09/2020</t>
  </si>
  <si>
    <t>EMP008</t>
  </si>
  <si>
    <t>Employee_8</t>
  </si>
  <si>
    <t>10/06/2015</t>
  </si>
  <si>
    <t>Resigned</t>
  </si>
  <si>
    <t>EMP009</t>
  </si>
  <si>
    <t>Employee_9</t>
  </si>
  <si>
    <t>Specialist</t>
  </si>
  <si>
    <t>06/03/2023</t>
  </si>
  <si>
    <t>EMP010</t>
  </si>
  <si>
    <t>Employee_10</t>
  </si>
  <si>
    <t>Support</t>
  </si>
  <si>
    <t>Manager</t>
  </si>
  <si>
    <t>22/12/2023</t>
  </si>
  <si>
    <t>EMP011</t>
  </si>
  <si>
    <t>Employee_11</t>
  </si>
  <si>
    <t>Executive</t>
  </si>
  <si>
    <t>11/01/2018</t>
  </si>
  <si>
    <t>EMP012</t>
  </si>
  <si>
    <t>Employee_12</t>
  </si>
  <si>
    <t>01/06/2023</t>
  </si>
  <si>
    <t>EMP013</t>
  </si>
  <si>
    <t>Employee_13</t>
  </si>
  <si>
    <t>18/07/2024</t>
  </si>
  <si>
    <t>EMP014</t>
  </si>
  <si>
    <t>Employee_14</t>
  </si>
  <si>
    <t>21/10/2025</t>
  </si>
  <si>
    <t>EMP015</t>
  </si>
  <si>
    <t>Employee_15</t>
  </si>
  <si>
    <t>20/03/2025</t>
  </si>
  <si>
    <t>Mumbai</t>
  </si>
  <si>
    <t>EMP016</t>
  </si>
  <si>
    <t>Employee_16</t>
  </si>
  <si>
    <t>HR</t>
  </si>
  <si>
    <t>26/06/2019</t>
  </si>
  <si>
    <t>EMP017</t>
  </si>
  <si>
    <t>Employee_17</t>
  </si>
  <si>
    <t>30/09/2022</t>
  </si>
  <si>
    <t>EMP018</t>
  </si>
  <si>
    <t>Employee_18</t>
  </si>
  <si>
    <t>09/08/2018</t>
  </si>
  <si>
    <t>EMP019</t>
  </si>
  <si>
    <t>Employee_19</t>
  </si>
  <si>
    <t>11/09/2018</t>
  </si>
  <si>
    <t>EMP020</t>
  </si>
  <si>
    <t>Employee_20</t>
  </si>
  <si>
    <t>11/05/2018</t>
  </si>
  <si>
    <t>EMP021</t>
  </si>
  <si>
    <t>Employee_21</t>
  </si>
  <si>
    <t>29/03/2022</t>
  </si>
  <si>
    <t>EMP022</t>
  </si>
  <si>
    <t>Employee_22</t>
  </si>
  <si>
    <t>27/03/2015</t>
  </si>
  <si>
    <t>EMP023</t>
  </si>
  <si>
    <t>Employee_23</t>
  </si>
  <si>
    <t>27/09/2015</t>
  </si>
  <si>
    <t>EMP024</t>
  </si>
  <si>
    <t>Employee_24</t>
  </si>
  <si>
    <t>28/04/2025</t>
  </si>
  <si>
    <t>EMP025</t>
  </si>
  <si>
    <t>Employee_25</t>
  </si>
  <si>
    <t>26/04/2025</t>
  </si>
  <si>
    <t>EMP026</t>
  </si>
  <si>
    <t>Employee_26</t>
  </si>
  <si>
    <t>18/02/2024</t>
  </si>
  <si>
    <t>EMP027</t>
  </si>
  <si>
    <t>Employee_27</t>
  </si>
  <si>
    <t>06/02/2025</t>
  </si>
  <si>
    <t>EMP028</t>
  </si>
  <si>
    <t>Employee_28</t>
  </si>
  <si>
    <t>10/03/2023</t>
  </si>
  <si>
    <t>EMP029</t>
  </si>
  <si>
    <t>Employee_29</t>
  </si>
  <si>
    <t>03/10/2022</t>
  </si>
  <si>
    <t>EMP030</t>
  </si>
  <si>
    <t>Employee_30</t>
  </si>
  <si>
    <t>22/04/2019</t>
  </si>
  <si>
    <t>EMP031</t>
  </si>
  <si>
    <t>Employee_31</t>
  </si>
  <si>
    <t>19/12/2024</t>
  </si>
  <si>
    <t>EMP032</t>
  </si>
  <si>
    <t>Employee_32</t>
  </si>
  <si>
    <t>15/01/2024</t>
  </si>
  <si>
    <t>EMP033</t>
  </si>
  <si>
    <t>Employee_33</t>
  </si>
  <si>
    <t>04/06/2020</t>
  </si>
  <si>
    <t>EMP034</t>
  </si>
  <si>
    <t>Employee_34</t>
  </si>
  <si>
    <t>24/02/2021</t>
  </si>
  <si>
    <t>EMP035</t>
  </si>
  <si>
    <t>Employee_35</t>
  </si>
  <si>
    <t>30/09/2016</t>
  </si>
  <si>
    <t>EMP036</t>
  </si>
  <si>
    <t>Employee_36</t>
  </si>
  <si>
    <t>20/10/2019</t>
  </si>
  <si>
    <t>EMP037</t>
  </si>
  <si>
    <t>Employee_37</t>
  </si>
  <si>
    <t>04/12/2017</t>
  </si>
  <si>
    <t>EMP038</t>
  </si>
  <si>
    <t>Employee_38</t>
  </si>
  <si>
    <t>27/02/2019</t>
  </si>
  <si>
    <t>EMP039</t>
  </si>
  <si>
    <t>Employee_39</t>
  </si>
  <si>
    <t>26/11/2019</t>
  </si>
  <si>
    <t>EMP040</t>
  </si>
  <si>
    <t>Employee_40</t>
  </si>
  <si>
    <t>10/03/2025</t>
  </si>
  <si>
    <t>EMP041</t>
  </si>
  <si>
    <t>Employee_41</t>
  </si>
  <si>
    <t>13/10/2023</t>
  </si>
  <si>
    <t>EMP042</t>
  </si>
  <si>
    <t>Employee_42</t>
  </si>
  <si>
    <t>24/11/2025</t>
  </si>
  <si>
    <t>EMP043</t>
  </si>
  <si>
    <t>Employee_43</t>
  </si>
  <si>
    <t>13/04/2018</t>
  </si>
  <si>
    <t>EMP044</t>
  </si>
  <si>
    <t>Employee_44</t>
  </si>
  <si>
    <t>23/09/2021</t>
  </si>
  <si>
    <t>EMP045</t>
  </si>
  <si>
    <t>Employee_45</t>
  </si>
  <si>
    <t>08/08/2019</t>
  </si>
  <si>
    <t>EMP046</t>
  </si>
  <si>
    <t>Employee_46</t>
  </si>
  <si>
    <t>09/03/2018</t>
  </si>
  <si>
    <t>EMP047</t>
  </si>
  <si>
    <t>Employee_47</t>
  </si>
  <si>
    <t>15/01/2020</t>
  </si>
  <si>
    <t>EMP048</t>
  </si>
  <si>
    <t>Employee_48</t>
  </si>
  <si>
    <t>03/08/2022</t>
  </si>
  <si>
    <t>EMP049</t>
  </si>
  <si>
    <t>Employee_49</t>
  </si>
  <si>
    <t>04/08/2024</t>
  </si>
  <si>
    <t>EMP050</t>
  </si>
  <si>
    <t>Employee_50</t>
  </si>
  <si>
    <t>14/08/2022</t>
  </si>
  <si>
    <t>EMP051</t>
  </si>
  <si>
    <t>Employee_51</t>
  </si>
  <si>
    <t>22/10/2015</t>
  </si>
  <si>
    <t>EMP052</t>
  </si>
  <si>
    <t>Employee_52</t>
  </si>
  <si>
    <t>01/06/2020</t>
  </si>
  <si>
    <t>EMP053</t>
  </si>
  <si>
    <t>Employee_53</t>
  </si>
  <si>
    <t>19/10/2019</t>
  </si>
  <si>
    <t>EMP054</t>
  </si>
  <si>
    <t>Employee_54</t>
  </si>
  <si>
    <t>24/04/2016</t>
  </si>
  <si>
    <t>EMP055</t>
  </si>
  <si>
    <t>Employee_55</t>
  </si>
  <si>
    <t>09/06/2025</t>
  </si>
  <si>
    <t>EMP056</t>
  </si>
  <si>
    <t>Employee_56</t>
  </si>
  <si>
    <t>11/03/2018</t>
  </si>
  <si>
    <t>EMP057</t>
  </si>
  <si>
    <t>Employee_57</t>
  </si>
  <si>
    <t>25/02/2016</t>
  </si>
  <si>
    <t>EMP058</t>
  </si>
  <si>
    <t>Employee_58</t>
  </si>
  <si>
    <t>14/05/2016</t>
  </si>
  <si>
    <t>EMP059</t>
  </si>
  <si>
    <t>Employee_59</t>
  </si>
  <si>
    <t>25/10/2017</t>
  </si>
  <si>
    <t>EMP060</t>
  </si>
  <si>
    <t>Employee_60</t>
  </si>
  <si>
    <t>28/03/2017</t>
  </si>
  <si>
    <t>EMP061</t>
  </si>
  <si>
    <t>Employee_61</t>
  </si>
  <si>
    <t>30/11/2018</t>
  </si>
  <si>
    <t>EMP062</t>
  </si>
  <si>
    <t>Employee_62</t>
  </si>
  <si>
    <t>02/06/2017</t>
  </si>
  <si>
    <t>EMP063</t>
  </si>
  <si>
    <t>Employee_63</t>
  </si>
  <si>
    <t>04/03/2025</t>
  </si>
  <si>
    <t>EMP064</t>
  </si>
  <si>
    <t>Employee_64</t>
  </si>
  <si>
    <t>11/05/2015</t>
  </si>
  <si>
    <t>EMP065</t>
  </si>
  <si>
    <t>Employee_65</t>
  </si>
  <si>
    <t>11/08/2019</t>
  </si>
  <si>
    <t>EMP066</t>
  </si>
  <si>
    <t>Employee_66</t>
  </si>
  <si>
    <t>07/11/2023</t>
  </si>
  <si>
    <t>EMP067</t>
  </si>
  <si>
    <t>Employee_67</t>
  </si>
  <si>
    <t>05/12/2018</t>
  </si>
  <si>
    <t>EMP068</t>
  </si>
  <si>
    <t>Employee_68</t>
  </si>
  <si>
    <t>02/04/2025</t>
  </si>
  <si>
    <t>EMP069</t>
  </si>
  <si>
    <t>Employee_69</t>
  </si>
  <si>
    <t>27/11/2023</t>
  </si>
  <si>
    <t>EMP070</t>
  </si>
  <si>
    <t>Employee_70</t>
  </si>
  <si>
    <t>27/07/2017</t>
  </si>
  <si>
    <t>EMP071</t>
  </si>
  <si>
    <t>Employee_71</t>
  </si>
  <si>
    <t>22/05/2019</t>
  </si>
  <si>
    <t>EMP072</t>
  </si>
  <si>
    <t>Employee_72</t>
  </si>
  <si>
    <t>15/11/2017</t>
  </si>
  <si>
    <t>EMP073</t>
  </si>
  <si>
    <t>Employee_73</t>
  </si>
  <si>
    <t>08/08/2015</t>
  </si>
  <si>
    <t>EMP074</t>
  </si>
  <si>
    <t>Employee_74</t>
  </si>
  <si>
    <t>22/11/2023</t>
  </si>
  <si>
    <t>EMP075</t>
  </si>
  <si>
    <t>Employee_75</t>
  </si>
  <si>
    <t>07/02/2022</t>
  </si>
  <si>
    <t>EMP076</t>
  </si>
  <si>
    <t>Employee_76</t>
  </si>
  <si>
    <t>31/05/2021</t>
  </si>
  <si>
    <t>EMP077</t>
  </si>
  <si>
    <t>Employee_77</t>
  </si>
  <si>
    <t>17/02/2017</t>
  </si>
  <si>
    <t>EMP078</t>
  </si>
  <si>
    <t>Employee_78</t>
  </si>
  <si>
    <t>20/03/2020</t>
  </si>
  <si>
    <t>EMP079</t>
  </si>
  <si>
    <t>Employee_79</t>
  </si>
  <si>
    <t>08/12/2024</t>
  </si>
  <si>
    <t>EMP080</t>
  </si>
  <si>
    <t>Employee_80</t>
  </si>
  <si>
    <t>18/09/2018</t>
  </si>
  <si>
    <t>EMP081</t>
  </si>
  <si>
    <t>Employee_81</t>
  </si>
  <si>
    <t>17/10/2025</t>
  </si>
  <si>
    <t>EMP082</t>
  </si>
  <si>
    <t>Employee_82</t>
  </si>
  <si>
    <t>01/10/2023</t>
  </si>
  <si>
    <t>EMP083</t>
  </si>
  <si>
    <t>Employee_83</t>
  </si>
  <si>
    <t>27/05/2021</t>
  </si>
  <si>
    <t>EMP084</t>
  </si>
  <si>
    <t>Employee_84</t>
  </si>
  <si>
    <t>16/09/2016</t>
  </si>
  <si>
    <t>EMP085</t>
  </si>
  <si>
    <t>Employee_85</t>
  </si>
  <si>
    <t>26/08/2016</t>
  </si>
  <si>
    <t>EMP086</t>
  </si>
  <si>
    <t>Employee_86</t>
  </si>
  <si>
    <t>06/11/2019</t>
  </si>
  <si>
    <t>EMP087</t>
  </si>
  <si>
    <t>Employee_87</t>
  </si>
  <si>
    <t>22/10/2019</t>
  </si>
  <si>
    <t>EMP088</t>
  </si>
  <si>
    <t>Employee_88</t>
  </si>
  <si>
    <t>09/03/2020</t>
  </si>
  <si>
    <t>EMP089</t>
  </si>
  <si>
    <t>Employee_89</t>
  </si>
  <si>
    <t>22/04/2015</t>
  </si>
  <si>
    <t>EMP090</t>
  </si>
  <si>
    <t>Employee_90</t>
  </si>
  <si>
    <t>22/07/2015</t>
  </si>
  <si>
    <t>EMP091</t>
  </si>
  <si>
    <t>Employee_91</t>
  </si>
  <si>
    <t>08/07/2019</t>
  </si>
  <si>
    <t>EMP092</t>
  </si>
  <si>
    <t>Employee_92</t>
  </si>
  <si>
    <t>19/01/2025</t>
  </si>
  <si>
    <t>EMP093</t>
  </si>
  <si>
    <t>Employee_93</t>
  </si>
  <si>
    <t>13/11/2025</t>
  </si>
  <si>
    <t>EMP094</t>
  </si>
  <si>
    <t>Employee_94</t>
  </si>
  <si>
    <t>11/04/2017</t>
  </si>
  <si>
    <t>EMP095</t>
  </si>
  <si>
    <t>Employee_95</t>
  </si>
  <si>
    <t>28/09/2024</t>
  </si>
  <si>
    <t>EMP096</t>
  </si>
  <si>
    <t>Employee_96</t>
  </si>
  <si>
    <t>21/11/2017</t>
  </si>
  <si>
    <t>EMP097</t>
  </si>
  <si>
    <t>Employee_97</t>
  </si>
  <si>
    <t>EMP098</t>
  </si>
  <si>
    <t>Employee_98</t>
  </si>
  <si>
    <t>27/05/2024</t>
  </si>
  <si>
    <t>EMP099</t>
  </si>
  <si>
    <t>Employee_99</t>
  </si>
  <si>
    <t>17/06/2015</t>
  </si>
  <si>
    <t>EMP100</t>
  </si>
  <si>
    <t>Employee_100</t>
  </si>
  <si>
    <t>10/07/2025</t>
  </si>
  <si>
    <t>EMP101</t>
  </si>
  <si>
    <t>Employee_101</t>
  </si>
  <si>
    <t>19/11/2022</t>
  </si>
  <si>
    <t>EMP102</t>
  </si>
  <si>
    <t>Employee_102</t>
  </si>
  <si>
    <t>28/05/2017</t>
  </si>
  <si>
    <t>EMP103</t>
  </si>
  <si>
    <t>Employee_103</t>
  </si>
  <si>
    <t>24/03/2020</t>
  </si>
  <si>
    <t>EMP104</t>
  </si>
  <si>
    <t>Employee_104</t>
  </si>
  <si>
    <t>17/09/2016</t>
  </si>
  <si>
    <t>EMP105</t>
  </si>
  <si>
    <t>Employee_105</t>
  </si>
  <si>
    <t>26/11/2023</t>
  </si>
  <si>
    <t>EMP106</t>
  </si>
  <si>
    <t>Employee_106</t>
  </si>
  <si>
    <t>29/12/2022</t>
  </si>
  <si>
    <t>EMP107</t>
  </si>
  <si>
    <t>Employee_107</t>
  </si>
  <si>
    <t>01/10/2022</t>
  </si>
  <si>
    <t>EMP108</t>
  </si>
  <si>
    <t>Employee_108</t>
  </si>
  <si>
    <t>05/08/2021</t>
  </si>
  <si>
    <t>EMP109</t>
  </si>
  <si>
    <t>Employee_109</t>
  </si>
  <si>
    <t>04/03/2022</t>
  </si>
  <si>
    <t>EMP110</t>
  </si>
  <si>
    <t>Employee_110</t>
  </si>
  <si>
    <t>14/05/2022</t>
  </si>
  <si>
    <t>EMP111</t>
  </si>
  <si>
    <t>Employee_111</t>
  </si>
  <si>
    <t>28/10/2025</t>
  </si>
  <si>
    <t>EMP112</t>
  </si>
  <si>
    <t>Employee_112</t>
  </si>
  <si>
    <t>20/04/2021</t>
  </si>
  <si>
    <t>EMP113</t>
  </si>
  <si>
    <t>Employee_113</t>
  </si>
  <si>
    <t>19/02/2018</t>
  </si>
  <si>
    <t>EMP114</t>
  </si>
  <si>
    <t>Employee_114</t>
  </si>
  <si>
    <t>10/03/2019</t>
  </si>
  <si>
    <t>EMP115</t>
  </si>
  <si>
    <t>Employee_115</t>
  </si>
  <si>
    <t>23/03/2024</t>
  </si>
  <si>
    <t>EMP116</t>
  </si>
  <si>
    <t>Employee_116</t>
  </si>
  <si>
    <t>13/01/2023</t>
  </si>
  <si>
    <t>EMP117</t>
  </si>
  <si>
    <t>Employee_117</t>
  </si>
  <si>
    <t>20/10/2024</t>
  </si>
  <si>
    <t>EMP118</t>
  </si>
  <si>
    <t>Employee_118</t>
  </si>
  <si>
    <t>05/04/2017</t>
  </si>
  <si>
    <t>EMP119</t>
  </si>
  <si>
    <t>Employee_119</t>
  </si>
  <si>
    <t>18/06/2018</t>
  </si>
  <si>
    <t>EMP120</t>
  </si>
  <si>
    <t>Employee_120</t>
  </si>
  <si>
    <t>26/07/2018</t>
  </si>
  <si>
    <t>EMP121</t>
  </si>
  <si>
    <t>Employee_121</t>
  </si>
  <si>
    <t>06/01/2023</t>
  </si>
  <si>
    <t>EMP122</t>
  </si>
  <si>
    <t>Employee_122</t>
  </si>
  <si>
    <t>05/03/2019</t>
  </si>
  <si>
    <t>EMP123</t>
  </si>
  <si>
    <t>Employee_123</t>
  </si>
  <si>
    <t>07/07/2022</t>
  </si>
  <si>
    <t>EMP124</t>
  </si>
  <si>
    <t>Employee_124</t>
  </si>
  <si>
    <t>EMP125</t>
  </si>
  <si>
    <t>Employee_125</t>
  </si>
  <si>
    <t>07/03/2020</t>
  </si>
  <si>
    <t>EMP126</t>
  </si>
  <si>
    <t>Employee_126</t>
  </si>
  <si>
    <t>20/05/2024</t>
  </si>
  <si>
    <t>EMP127</t>
  </si>
  <si>
    <t>Employee_127</t>
  </si>
  <si>
    <t>28/01/2015</t>
  </si>
  <si>
    <t>EMP128</t>
  </si>
  <si>
    <t>Employee_128</t>
  </si>
  <si>
    <t>17/04/2025</t>
  </si>
  <si>
    <t>EMP129</t>
  </si>
  <si>
    <t>Employee_129</t>
  </si>
  <si>
    <t>06/10/2025</t>
  </si>
  <si>
    <t>EMP130</t>
  </si>
  <si>
    <t>Employee_130</t>
  </si>
  <si>
    <t>25/12/2025</t>
  </si>
  <si>
    <t>EMP131</t>
  </si>
  <si>
    <t>Employee_131</t>
  </si>
  <si>
    <t>07/01/2016</t>
  </si>
  <si>
    <t>EMP132</t>
  </si>
  <si>
    <t>Employee_132</t>
  </si>
  <si>
    <t>25/10/2019</t>
  </si>
  <si>
    <t>EMP133</t>
  </si>
  <si>
    <t>Employee_133</t>
  </si>
  <si>
    <t>12/12/2017</t>
  </si>
  <si>
    <t>EMP134</t>
  </si>
  <si>
    <t>Employee_134</t>
  </si>
  <si>
    <t>23/06/2025</t>
  </si>
  <si>
    <t>EMP135</t>
  </si>
  <si>
    <t>Employee_135</t>
  </si>
  <si>
    <t>28/08/2020</t>
  </si>
  <si>
    <t>EMP136</t>
  </si>
  <si>
    <t>Employee_136</t>
  </si>
  <si>
    <t>28/09/2025</t>
  </si>
  <si>
    <t>EMP137</t>
  </si>
  <si>
    <t>Employee_137</t>
  </si>
  <si>
    <t>21/10/2018</t>
  </si>
  <si>
    <t>EMP138</t>
  </si>
  <si>
    <t>Employee_138</t>
  </si>
  <si>
    <t>01/03/2015</t>
  </si>
  <si>
    <t>EMP139</t>
  </si>
  <si>
    <t>Employee_139</t>
  </si>
  <si>
    <t>14/12/2015</t>
  </si>
  <si>
    <t>EMP140</t>
  </si>
  <si>
    <t>Employee_140</t>
  </si>
  <si>
    <t>13/06/2024</t>
  </si>
  <si>
    <t>EMP141</t>
  </si>
  <si>
    <t>Employee_141</t>
  </si>
  <si>
    <t>10/07/2016</t>
  </si>
  <si>
    <t>EMP142</t>
  </si>
  <si>
    <t>Employee_142</t>
  </si>
  <si>
    <t>04/12/2018</t>
  </si>
  <si>
    <t>EMP143</t>
  </si>
  <si>
    <t>Employee_143</t>
  </si>
  <si>
    <t>EMP144</t>
  </si>
  <si>
    <t>Employee_144</t>
  </si>
  <si>
    <t>23/03/2016</t>
  </si>
  <si>
    <t>EMP145</t>
  </si>
  <si>
    <t>Employee_145</t>
  </si>
  <si>
    <t>19/07/2025</t>
  </si>
  <si>
    <t>EMP146</t>
  </si>
  <si>
    <t>Employee_146</t>
  </si>
  <si>
    <t>25/05/2015</t>
  </si>
  <si>
    <t>EMP147</t>
  </si>
  <si>
    <t>Employee_147</t>
  </si>
  <si>
    <t>10/03/2017</t>
  </si>
  <si>
    <t>EMP148</t>
  </si>
  <si>
    <t>Employee_148</t>
  </si>
  <si>
    <t>23/09/2023</t>
  </si>
  <si>
    <t>EMP149</t>
  </si>
  <si>
    <t>Employee_149</t>
  </si>
  <si>
    <t>09/03/2025</t>
  </si>
  <si>
    <t>EMP150</t>
  </si>
  <si>
    <t>Employee_150</t>
  </si>
  <si>
    <t>11/06/2019</t>
  </si>
  <si>
    <t>EMP151</t>
  </si>
  <si>
    <t>Employee_151</t>
  </si>
  <si>
    <t>06/04/2022</t>
  </si>
  <si>
    <t>EMP152</t>
  </si>
  <si>
    <t>Employee_152</t>
  </si>
  <si>
    <t>30/04/2020</t>
  </si>
  <si>
    <t>EMP153</t>
  </si>
  <si>
    <t>Employee_153</t>
  </si>
  <si>
    <t>05/06/2021</t>
  </si>
  <si>
    <t>EMP154</t>
  </si>
  <si>
    <t>Employee_154</t>
  </si>
  <si>
    <t>04/02/2023</t>
  </si>
  <si>
    <t>EMP155</t>
  </si>
  <si>
    <t>Employee_155</t>
  </si>
  <si>
    <t>24/12/2020</t>
  </si>
  <si>
    <t>EMP156</t>
  </si>
  <si>
    <t>Employee_156</t>
  </si>
  <si>
    <t>06/09/2018</t>
  </si>
  <si>
    <t>EMP157</t>
  </si>
  <si>
    <t>Employee_157</t>
  </si>
  <si>
    <t>11/04/2023</t>
  </si>
  <si>
    <t>EMP158</t>
  </si>
  <si>
    <t>Employee_158</t>
  </si>
  <si>
    <t>01/05/2022</t>
  </si>
  <si>
    <t>EMP159</t>
  </si>
  <si>
    <t>Employee_159</t>
  </si>
  <si>
    <t>28/01/2023</t>
  </si>
  <si>
    <t>EMP160</t>
  </si>
  <si>
    <t>Employee_160</t>
  </si>
  <si>
    <t>10/01/2021</t>
  </si>
  <si>
    <t>EMP161</t>
  </si>
  <si>
    <t>Employee_161</t>
  </si>
  <si>
    <t>05/03/2021</t>
  </si>
  <si>
    <t>EMP162</t>
  </si>
  <si>
    <t>Employee_162</t>
  </si>
  <si>
    <t>26/08/2015</t>
  </si>
  <si>
    <t>EMP163</t>
  </si>
  <si>
    <t>Employee_163</t>
  </si>
  <si>
    <t>24/12/2021</t>
  </si>
  <si>
    <t>EMP164</t>
  </si>
  <si>
    <t>Employee_164</t>
  </si>
  <si>
    <t>16/01/2020</t>
  </si>
  <si>
    <t>EMP165</t>
  </si>
  <si>
    <t>Employee_165</t>
  </si>
  <si>
    <t>12/07/2021</t>
  </si>
  <si>
    <t>EMP166</t>
  </si>
  <si>
    <t>Employee_166</t>
  </si>
  <si>
    <t>20/06/2020</t>
  </si>
  <si>
    <t>EMP167</t>
  </si>
  <si>
    <t>Employee_167</t>
  </si>
  <si>
    <t>17/09/2020</t>
  </si>
  <si>
    <t>EMP168</t>
  </si>
  <si>
    <t>Employee_168</t>
  </si>
  <si>
    <t>01/07/2019</t>
  </si>
  <si>
    <t>EMP169</t>
  </si>
  <si>
    <t>Employee_169</t>
  </si>
  <si>
    <t>04/06/2017</t>
  </si>
  <si>
    <t>EMP170</t>
  </si>
  <si>
    <t>Employee_170</t>
  </si>
  <si>
    <t>11/01/2024</t>
  </si>
  <si>
    <t>EMP171</t>
  </si>
  <si>
    <t>Employee_171</t>
  </si>
  <si>
    <t>24/06/2015</t>
  </si>
  <si>
    <t>EMP172</t>
  </si>
  <si>
    <t>Employee_172</t>
  </si>
  <si>
    <t>14/02/2018</t>
  </si>
  <si>
    <t>EMP173</t>
  </si>
  <si>
    <t>Employee_173</t>
  </si>
  <si>
    <t>08/02/2020</t>
  </si>
  <si>
    <t>EMP174</t>
  </si>
  <si>
    <t>Employee_174</t>
  </si>
  <si>
    <t>10/07/2021</t>
  </si>
  <si>
    <t>EMP175</t>
  </si>
  <si>
    <t>Employee_175</t>
  </si>
  <si>
    <t>01/09/2024</t>
  </si>
  <si>
    <t>EMP176</t>
  </si>
  <si>
    <t>Employee_176</t>
  </si>
  <si>
    <t>EMP177</t>
  </si>
  <si>
    <t>Employee_177</t>
  </si>
  <si>
    <t>15/06/2016</t>
  </si>
  <si>
    <t>EMP178</t>
  </si>
  <si>
    <t>Employee_178</t>
  </si>
  <si>
    <t>10/01/2022</t>
  </si>
  <si>
    <t>EMP179</t>
  </si>
  <si>
    <t>Employee_179</t>
  </si>
  <si>
    <t>06/01/2020</t>
  </si>
  <si>
    <t>EMP180</t>
  </si>
  <si>
    <t>Employee_180</t>
  </si>
  <si>
    <t>03/01/2019</t>
  </si>
  <si>
    <t>EMP181</t>
  </si>
  <si>
    <t>Employee_181</t>
  </si>
  <si>
    <t>05/02/2020</t>
  </si>
  <si>
    <t>EMP182</t>
  </si>
  <si>
    <t>Employee_182</t>
  </si>
  <si>
    <t>05/09/2024</t>
  </si>
  <si>
    <t>EMP183</t>
  </si>
  <si>
    <t>Employee_183</t>
  </si>
  <si>
    <t>31/12/2023</t>
  </si>
  <si>
    <t>EMP184</t>
  </si>
  <si>
    <t>Employee_184</t>
  </si>
  <si>
    <t>02/07/2020</t>
  </si>
  <si>
    <t>EMP185</t>
  </si>
  <si>
    <t>Employee_185</t>
  </si>
  <si>
    <t>18/07/2018</t>
  </si>
  <si>
    <t>EMP186</t>
  </si>
  <si>
    <t>Employee_186</t>
  </si>
  <si>
    <t>27/06/2020</t>
  </si>
  <si>
    <t>EMP187</t>
  </si>
  <si>
    <t>Employee_187</t>
  </si>
  <si>
    <t>18/10/2023</t>
  </si>
  <si>
    <t>EMP188</t>
  </si>
  <si>
    <t>Employee_188</t>
  </si>
  <si>
    <t>14/02/2021</t>
  </si>
  <si>
    <t>EMP189</t>
  </si>
  <si>
    <t>Employee_189</t>
  </si>
  <si>
    <t>31/08/2022</t>
  </si>
  <si>
    <t>EMP190</t>
  </si>
  <si>
    <t>Employee_190</t>
  </si>
  <si>
    <t>02/02/2023</t>
  </si>
  <si>
    <t>EMP191</t>
  </si>
  <si>
    <t>Employee_191</t>
  </si>
  <si>
    <t>22/05/2016</t>
  </si>
  <si>
    <t>EMP192</t>
  </si>
  <si>
    <t>Employee_192</t>
  </si>
  <si>
    <t>22/09/2017</t>
  </si>
  <si>
    <t>EMP193</t>
  </si>
  <si>
    <t>Employee_193</t>
  </si>
  <si>
    <t>04/04/2017</t>
  </si>
  <si>
    <t>EMP194</t>
  </si>
  <si>
    <t>Employee_194</t>
  </si>
  <si>
    <t>23/05/2021</t>
  </si>
  <si>
    <t>EMP195</t>
  </si>
  <si>
    <t>Employee_195</t>
  </si>
  <si>
    <t>16/11/2018</t>
  </si>
  <si>
    <t>EMP196</t>
  </si>
  <si>
    <t>Employee_196</t>
  </si>
  <si>
    <t>21/03/2018</t>
  </si>
  <si>
    <t>EMP197</t>
  </si>
  <si>
    <t>Employee_197</t>
  </si>
  <si>
    <t>EMP198</t>
  </si>
  <si>
    <t>Employee_198</t>
  </si>
  <si>
    <t>30/09/2020</t>
  </si>
  <si>
    <t>EMP199</t>
  </si>
  <si>
    <t>Employee_199</t>
  </si>
  <si>
    <t>24/08/2017</t>
  </si>
  <si>
    <t>EMP200</t>
  </si>
  <si>
    <t>Employee_200</t>
  </si>
  <si>
    <t>01/09/2020</t>
  </si>
  <si>
    <t>EMP201</t>
  </si>
  <si>
    <t>Employee_201</t>
  </si>
  <si>
    <t>30/01/2019</t>
  </si>
  <si>
    <t>EMP202</t>
  </si>
  <si>
    <t>Employee_202</t>
  </si>
  <si>
    <t>EMP203</t>
  </si>
  <si>
    <t>Employee_203</t>
  </si>
  <si>
    <t>26/03/2015</t>
  </si>
  <si>
    <t>EMP204</t>
  </si>
  <si>
    <t>Employee_204</t>
  </si>
  <si>
    <t>19/05/2023</t>
  </si>
  <si>
    <t>EMP205</t>
  </si>
  <si>
    <t>Employee_205</t>
  </si>
  <si>
    <t>07/09/2018</t>
  </si>
  <si>
    <t>EMP206</t>
  </si>
  <si>
    <t>Employee_206</t>
  </si>
  <si>
    <t>27/08/2016</t>
  </si>
  <si>
    <t>EMP207</t>
  </si>
  <si>
    <t>Employee_207</t>
  </si>
  <si>
    <t>15/07/2015</t>
  </si>
  <si>
    <t>EMP208</t>
  </si>
  <si>
    <t>Employee_208</t>
  </si>
  <si>
    <t>08/09/2016</t>
  </si>
  <si>
    <t>EMP209</t>
  </si>
  <si>
    <t>Employee_209</t>
  </si>
  <si>
    <t>11/12/2019</t>
  </si>
  <si>
    <t>EMP210</t>
  </si>
  <si>
    <t>Employee_210</t>
  </si>
  <si>
    <t>20/07/2023</t>
  </si>
  <si>
    <t>EMP211</t>
  </si>
  <si>
    <t>Employee_211</t>
  </si>
  <si>
    <t>06/04/2021</t>
  </si>
  <si>
    <t>EMP212</t>
  </si>
  <si>
    <t>Employee_212</t>
  </si>
  <si>
    <t>09/06/2023</t>
  </si>
  <si>
    <t>EMP213</t>
  </si>
  <si>
    <t>Employee_213</t>
  </si>
  <si>
    <t>24/07/2021</t>
  </si>
  <si>
    <t>EMP214</t>
  </si>
  <si>
    <t>Employee_214</t>
  </si>
  <si>
    <t>24/08/2020</t>
  </si>
  <si>
    <t>EMP215</t>
  </si>
  <si>
    <t>Employee_215</t>
  </si>
  <si>
    <t>04/02/2024</t>
  </si>
  <si>
    <t>EMP216</t>
  </si>
  <si>
    <t>Employee_216</t>
  </si>
  <si>
    <t>24/07/2024</t>
  </si>
  <si>
    <t>EMP217</t>
  </si>
  <si>
    <t>Employee_217</t>
  </si>
  <si>
    <t>07/12/2024</t>
  </si>
  <si>
    <t>EMP218</t>
  </si>
  <si>
    <t>Employee_218</t>
  </si>
  <si>
    <t>22/09/2021</t>
  </si>
  <si>
    <t>EMP219</t>
  </si>
  <si>
    <t>Employee_219</t>
  </si>
  <si>
    <t>16/06/2016</t>
  </si>
  <si>
    <t>EMP220</t>
  </si>
  <si>
    <t>Employee_220</t>
  </si>
  <si>
    <t>25/10/2020</t>
  </si>
  <si>
    <t>EMP221</t>
  </si>
  <si>
    <t>Employee_221</t>
  </si>
  <si>
    <t>20/03/2022</t>
  </si>
  <si>
    <t>EMP222</t>
  </si>
  <si>
    <t>Employee_222</t>
  </si>
  <si>
    <t>24/04/2022</t>
  </si>
  <si>
    <t>EMP223</t>
  </si>
  <si>
    <t>Employee_223</t>
  </si>
  <si>
    <t>01/03/2023</t>
  </si>
  <si>
    <t>EMP224</t>
  </si>
  <si>
    <t>Employee_224</t>
  </si>
  <si>
    <t>23/07/2023</t>
  </si>
  <si>
    <t>EMP225</t>
  </si>
  <si>
    <t>Employee_225</t>
  </si>
  <si>
    <t>28/02/2016</t>
  </si>
  <si>
    <t>EMP226</t>
  </si>
  <si>
    <t>Employee_226</t>
  </si>
  <si>
    <t>28/09/2021</t>
  </si>
  <si>
    <t>EMP227</t>
  </si>
  <si>
    <t>Employee_227</t>
  </si>
  <si>
    <t>21/09/2015</t>
  </si>
  <si>
    <t>EMP228</t>
  </si>
  <si>
    <t>Employee_228</t>
  </si>
  <si>
    <t>03/07/2023</t>
  </si>
  <si>
    <t>EMP229</t>
  </si>
  <si>
    <t>Employee_229</t>
  </si>
  <si>
    <t>11/10/2024</t>
  </si>
  <si>
    <t>EMP230</t>
  </si>
  <si>
    <t>Employee_230</t>
  </si>
  <si>
    <t>29/04/2015</t>
  </si>
  <si>
    <t>EMP231</t>
  </si>
  <si>
    <t>Employee_231</t>
  </si>
  <si>
    <t>24/11/2018</t>
  </si>
  <si>
    <t>EMP232</t>
  </si>
  <si>
    <t>Employee_232</t>
  </si>
  <si>
    <t>EMP233</t>
  </si>
  <si>
    <t>Employee_233</t>
  </si>
  <si>
    <t>08/08/2023</t>
  </si>
  <si>
    <t>EMP234</t>
  </si>
  <si>
    <t>Employee_234</t>
  </si>
  <si>
    <t>23/04/2017</t>
  </si>
  <si>
    <t>EMP235</t>
  </si>
  <si>
    <t>Employee_235</t>
  </si>
  <si>
    <t>12/10/2018</t>
  </si>
  <si>
    <t>EMP236</t>
  </si>
  <si>
    <t>Employee_236</t>
  </si>
  <si>
    <t>05/05/2016</t>
  </si>
  <si>
    <t>EMP237</t>
  </si>
  <si>
    <t>Employee_237</t>
  </si>
  <si>
    <t>27/09/2023</t>
  </si>
  <si>
    <t>EMP238</t>
  </si>
  <si>
    <t>Employee_238</t>
  </si>
  <si>
    <t>22/01/2018</t>
  </si>
  <si>
    <t>EMP239</t>
  </si>
  <si>
    <t>Employee_239</t>
  </si>
  <si>
    <t>25/01/2020</t>
  </si>
  <si>
    <t>EMP240</t>
  </si>
  <si>
    <t>Employee_240</t>
  </si>
  <si>
    <t>07/07/2021</t>
  </si>
  <si>
    <t>EMP241</t>
  </si>
  <si>
    <t>Employee_241</t>
  </si>
  <si>
    <t>08/06/2015</t>
  </si>
  <si>
    <t>EMP242</t>
  </si>
  <si>
    <t>Employee_242</t>
  </si>
  <si>
    <t>06/03/2021</t>
  </si>
  <si>
    <t>EMP243</t>
  </si>
  <si>
    <t>Employee_243</t>
  </si>
  <si>
    <t>EMP244</t>
  </si>
  <si>
    <t>Employee_244</t>
  </si>
  <si>
    <t>27/05/2020</t>
  </si>
  <si>
    <t>EMP245</t>
  </si>
  <si>
    <t>Employee_245</t>
  </si>
  <si>
    <t>19/06/2019</t>
  </si>
  <si>
    <t>EMP246</t>
  </si>
  <si>
    <t>Employee_246</t>
  </si>
  <si>
    <t>28/03/2019</t>
  </si>
  <si>
    <t>EMP247</t>
  </si>
  <si>
    <t>Employee_247</t>
  </si>
  <si>
    <t>28/04/2021</t>
  </si>
  <si>
    <t>EMP248</t>
  </si>
  <si>
    <t>Employee_248</t>
  </si>
  <si>
    <t>16/03/2023</t>
  </si>
  <si>
    <t>EMP249</t>
  </si>
  <si>
    <t>Employee_249</t>
  </si>
  <si>
    <t>03/12/2018</t>
  </si>
  <si>
    <t>EMP250</t>
  </si>
  <si>
    <t>Employee_250</t>
  </si>
  <si>
    <t>29/06/2016</t>
  </si>
  <si>
    <t>EMP251</t>
  </si>
  <si>
    <t>Employee_251</t>
  </si>
  <si>
    <t>08/07/2023</t>
  </si>
  <si>
    <t>EMP252</t>
  </si>
  <si>
    <t>Employee_252</t>
  </si>
  <si>
    <t>16/08/2019</t>
  </si>
  <si>
    <t>EMP253</t>
  </si>
  <si>
    <t>Employee_253</t>
  </si>
  <si>
    <t>14/04/2021</t>
  </si>
  <si>
    <t>EMP254</t>
  </si>
  <si>
    <t>Employee_254</t>
  </si>
  <si>
    <t>30/03/2025</t>
  </si>
  <si>
    <t>EMP255</t>
  </si>
  <si>
    <t>Employee_255</t>
  </si>
  <si>
    <t>06/08/2020</t>
  </si>
  <si>
    <t>EMP256</t>
  </si>
  <si>
    <t>Employee_256</t>
  </si>
  <si>
    <t>EMP257</t>
  </si>
  <si>
    <t>Employee_257</t>
  </si>
  <si>
    <t>25/03/2019</t>
  </si>
  <si>
    <t>EMP258</t>
  </si>
  <si>
    <t>Employee_258</t>
  </si>
  <si>
    <t>EMP259</t>
  </si>
  <si>
    <t>Employee_259</t>
  </si>
  <si>
    <t>28/06/2024</t>
  </si>
  <si>
    <t>EMP260</t>
  </si>
  <si>
    <t>Employee_260</t>
  </si>
  <si>
    <t>EMP261</t>
  </si>
  <si>
    <t>Employee_261</t>
  </si>
  <si>
    <t>17/01/2021</t>
  </si>
  <si>
    <t>EMP262</t>
  </si>
  <si>
    <t>Employee_262</t>
  </si>
  <si>
    <t>20/10/2023</t>
  </si>
  <si>
    <t>EMP263</t>
  </si>
  <si>
    <t>Employee_263</t>
  </si>
  <si>
    <t>21/03/2019</t>
  </si>
  <si>
    <t>EMP264</t>
  </si>
  <si>
    <t>Employee_264</t>
  </si>
  <si>
    <t>EMP265</t>
  </si>
  <si>
    <t>Employee_265</t>
  </si>
  <si>
    <t>05/10/2023</t>
  </si>
  <si>
    <t>EMP266</t>
  </si>
  <si>
    <t>Employee_266</t>
  </si>
  <si>
    <t>25/05/2016</t>
  </si>
  <si>
    <t>EMP267</t>
  </si>
  <si>
    <t>Employee_267</t>
  </si>
  <si>
    <t>13/05/2025</t>
  </si>
  <si>
    <t>EMP268</t>
  </si>
  <si>
    <t>Employee_268</t>
  </si>
  <si>
    <t>EMP269</t>
  </si>
  <si>
    <t>Employee_269</t>
  </si>
  <si>
    <t>05/04/2020</t>
  </si>
  <si>
    <t>EMP270</t>
  </si>
  <si>
    <t>Employee_270</t>
  </si>
  <si>
    <t>17/11/2019</t>
  </si>
  <si>
    <t>EMP271</t>
  </si>
  <si>
    <t>Employee_271</t>
  </si>
  <si>
    <t>19/10/2023</t>
  </si>
  <si>
    <t>EMP272</t>
  </si>
  <si>
    <t>Employee_272</t>
  </si>
  <si>
    <t>15/01/2022</t>
  </si>
  <si>
    <t>EMP273</t>
  </si>
  <si>
    <t>Employee_273</t>
  </si>
  <si>
    <t>24/03/2024</t>
  </si>
  <si>
    <t>EMP274</t>
  </si>
  <si>
    <t>Employee_274</t>
  </si>
  <si>
    <t>29/10/2020</t>
  </si>
  <si>
    <t>EMP275</t>
  </si>
  <si>
    <t>Employee_275</t>
  </si>
  <si>
    <t>26/01/2021</t>
  </si>
  <si>
    <t>EMP276</t>
  </si>
  <si>
    <t>Employee_276</t>
  </si>
  <si>
    <t>28/07/2016</t>
  </si>
  <si>
    <t>EMP277</t>
  </si>
  <si>
    <t>Employee_277</t>
  </si>
  <si>
    <t>10/10/2017</t>
  </si>
  <si>
    <t>EMP278</t>
  </si>
  <si>
    <t>Employee_278</t>
  </si>
  <si>
    <t>21/03/2025</t>
  </si>
  <si>
    <t>EMP279</t>
  </si>
  <si>
    <t>Employee_279</t>
  </si>
  <si>
    <t>20/06/2023</t>
  </si>
  <si>
    <t>EMP280</t>
  </si>
  <si>
    <t>Employee_280</t>
  </si>
  <si>
    <t>04/12/2025</t>
  </si>
  <si>
    <t>EMP281</t>
  </si>
  <si>
    <t>Employee_281</t>
  </si>
  <si>
    <t>04/08/2017</t>
  </si>
  <si>
    <t>EMP282</t>
  </si>
  <si>
    <t>Employee_282</t>
  </si>
  <si>
    <t>15/04/2017</t>
  </si>
  <si>
    <t>EMP283</t>
  </si>
  <si>
    <t>Employee_283</t>
  </si>
  <si>
    <t>14/06/2017</t>
  </si>
  <si>
    <t>EMP284</t>
  </si>
  <si>
    <t>Employee_284</t>
  </si>
  <si>
    <t>12/09/2019</t>
  </si>
  <si>
    <t>EMP285</t>
  </si>
  <si>
    <t>Employee_285</t>
  </si>
  <si>
    <t>23/09/2022</t>
  </si>
  <si>
    <t>EMP286</t>
  </si>
  <si>
    <t>Employee_286</t>
  </si>
  <si>
    <t>16/01/2024</t>
  </si>
  <si>
    <t>EMP287</t>
  </si>
  <si>
    <t>Employee_287</t>
  </si>
  <si>
    <t>03/06/2023</t>
  </si>
  <si>
    <t>EMP288</t>
  </si>
  <si>
    <t>Employee_288</t>
  </si>
  <si>
    <t>EMP289</t>
  </si>
  <si>
    <t>Employee_289</t>
  </si>
  <si>
    <t>10/11/2020</t>
  </si>
  <si>
    <t>EMP290</t>
  </si>
  <si>
    <t>Employee_290</t>
  </si>
  <si>
    <t>16/02/2018</t>
  </si>
  <si>
    <t>EMP291</t>
  </si>
  <si>
    <t>Employee_291</t>
  </si>
  <si>
    <t>12/11/2023</t>
  </si>
  <si>
    <t>EMP292</t>
  </si>
  <si>
    <t>Employee_292</t>
  </si>
  <si>
    <t>19/08/2024</t>
  </si>
  <si>
    <t>EMP293</t>
  </si>
  <si>
    <t>Employee_293</t>
  </si>
  <si>
    <t>18/06/2020</t>
  </si>
  <si>
    <t>EMP294</t>
  </si>
  <si>
    <t>Employee_294</t>
  </si>
  <si>
    <t>25/04/2020</t>
  </si>
  <si>
    <t>EMP295</t>
  </si>
  <si>
    <t>Employee_295</t>
  </si>
  <si>
    <t>11/11/2021</t>
  </si>
  <si>
    <t>EMP296</t>
  </si>
  <si>
    <t>Employee_296</t>
  </si>
  <si>
    <t>11/08/2017</t>
  </si>
  <si>
    <t>EMP297</t>
  </si>
  <si>
    <t>Employee_297</t>
  </si>
  <si>
    <t>01/09/2025</t>
  </si>
  <si>
    <t>EMP298</t>
  </si>
  <si>
    <t>Employee_298</t>
  </si>
  <si>
    <t>31/01/2016</t>
  </si>
  <si>
    <t>EMP299</t>
  </si>
  <si>
    <t>Employee_299</t>
  </si>
  <si>
    <t>12/08/2023</t>
  </si>
  <si>
    <t>EMP300</t>
  </si>
  <si>
    <t>Employee_300</t>
  </si>
  <si>
    <t>11/10/2015</t>
  </si>
  <si>
    <t>EMP301</t>
  </si>
  <si>
    <t>Employee_301</t>
  </si>
  <si>
    <t>EMP302</t>
  </si>
  <si>
    <t>Employee_302</t>
  </si>
  <si>
    <t>EMP303</t>
  </si>
  <si>
    <t>Employee_303</t>
  </si>
  <si>
    <t>18/07/2022</t>
  </si>
  <si>
    <t>EMP304</t>
  </si>
  <si>
    <t>Employee_304</t>
  </si>
  <si>
    <t>21/05/2017</t>
  </si>
  <si>
    <t>EMP305</t>
  </si>
  <si>
    <t>Employee_305</t>
  </si>
  <si>
    <t>09/02/2019</t>
  </si>
  <si>
    <t>EMP306</t>
  </si>
  <si>
    <t>Employee_306</t>
  </si>
  <si>
    <t>15/07/2021</t>
  </si>
  <si>
    <t>EMP307</t>
  </si>
  <si>
    <t>Employee_307</t>
  </si>
  <si>
    <t>24/05/2017</t>
  </si>
  <si>
    <t>EMP308</t>
  </si>
  <si>
    <t>Employee_308</t>
  </si>
  <si>
    <t>09/06/2016</t>
  </si>
  <si>
    <t>EMP309</t>
  </si>
  <si>
    <t>Employee_309</t>
  </si>
  <si>
    <t>03/02/2016</t>
  </si>
  <si>
    <t>EMP310</t>
  </si>
  <si>
    <t>Employee_310</t>
  </si>
  <si>
    <t>11/03/2022</t>
  </si>
  <si>
    <t>EMP311</t>
  </si>
  <si>
    <t>Employee_311</t>
  </si>
  <si>
    <t>11/08/2023</t>
  </si>
  <si>
    <t>EMP312</t>
  </si>
  <si>
    <t>Employee_312</t>
  </si>
  <si>
    <t>16/06/2025</t>
  </si>
  <si>
    <t>EMP313</t>
  </si>
  <si>
    <t>Employee_313</t>
  </si>
  <si>
    <t>04/10/2015</t>
  </si>
  <si>
    <t>EMP314</t>
  </si>
  <si>
    <t>Employee_314</t>
  </si>
  <si>
    <t>13/12/2023</t>
  </si>
  <si>
    <t>EMP315</t>
  </si>
  <si>
    <t>Employee_315</t>
  </si>
  <si>
    <t>07/10/2023</t>
  </si>
  <si>
    <t>EMP316</t>
  </si>
  <si>
    <t>Employee_316</t>
  </si>
  <si>
    <t>11/09/2025</t>
  </si>
  <si>
    <t>EMP317</t>
  </si>
  <si>
    <t>Employee_317</t>
  </si>
  <si>
    <t>20/02/2015</t>
  </si>
  <si>
    <t>EMP318</t>
  </si>
  <si>
    <t>Employee_318</t>
  </si>
  <si>
    <t>16/07/2017</t>
  </si>
  <si>
    <t>EMP319</t>
  </si>
  <si>
    <t>Employee_319</t>
  </si>
  <si>
    <t>06/01/2021</t>
  </si>
  <si>
    <t>EMP320</t>
  </si>
  <si>
    <t>Employee_320</t>
  </si>
  <si>
    <t>26/01/2019</t>
  </si>
  <si>
    <t>EMP321</t>
  </si>
  <si>
    <t>Employee_321</t>
  </si>
  <si>
    <t>01/02/2016</t>
  </si>
  <si>
    <t>EMP322</t>
  </si>
  <si>
    <t>Employee_322</t>
  </si>
  <si>
    <t>16/12/2017</t>
  </si>
  <si>
    <t>EMP323</t>
  </si>
  <si>
    <t>Employee_323</t>
  </si>
  <si>
    <t>04/07/2016</t>
  </si>
  <si>
    <t>EMP324</t>
  </si>
  <si>
    <t>Employee_324</t>
  </si>
  <si>
    <t>28/07/2025</t>
  </si>
  <si>
    <t>EMP325</t>
  </si>
  <si>
    <t>Employee_325</t>
  </si>
  <si>
    <t>31/07/2022</t>
  </si>
  <si>
    <t>EMP326</t>
  </si>
  <si>
    <t>Employee_326</t>
  </si>
  <si>
    <t>15/07/2019</t>
  </si>
  <si>
    <t>EMP327</t>
  </si>
  <si>
    <t>Employee_327</t>
  </si>
  <si>
    <t>25/09/2024</t>
  </si>
  <si>
    <t>EMP328</t>
  </si>
  <si>
    <t>Employee_328</t>
  </si>
  <si>
    <t>EMP329</t>
  </si>
  <si>
    <t>Employee_329</t>
  </si>
  <si>
    <t>EMP330</t>
  </si>
  <si>
    <t>Employee_330</t>
  </si>
  <si>
    <t>13/04/2024</t>
  </si>
  <si>
    <t>EMP331</t>
  </si>
  <si>
    <t>Employee_331</t>
  </si>
  <si>
    <t>27/04/2020</t>
  </si>
  <si>
    <t>EMP332</t>
  </si>
  <si>
    <t>Employee_332</t>
  </si>
  <si>
    <t>10/11/2019</t>
  </si>
  <si>
    <t>EMP333</t>
  </si>
  <si>
    <t>Employee_333</t>
  </si>
  <si>
    <t>07/05/2021</t>
  </si>
  <si>
    <t>EMP334</t>
  </si>
  <si>
    <t>Employee_334</t>
  </si>
  <si>
    <t>02/11/2021</t>
  </si>
  <si>
    <t>EMP335</t>
  </si>
  <si>
    <t>Employee_335</t>
  </si>
  <si>
    <t>14/10/2023</t>
  </si>
  <si>
    <t>EMP336</t>
  </si>
  <si>
    <t>Employee_336</t>
  </si>
  <si>
    <t>21/12/2017</t>
  </si>
  <si>
    <t>EMP337</t>
  </si>
  <si>
    <t>Employee_337</t>
  </si>
  <si>
    <t>27/11/2018</t>
  </si>
  <si>
    <t>EMP338</t>
  </si>
  <si>
    <t>Employee_338</t>
  </si>
  <si>
    <t>EMP339</t>
  </si>
  <si>
    <t>Employee_339</t>
  </si>
  <si>
    <t>05/03/2020</t>
  </si>
  <si>
    <t>EMP340</t>
  </si>
  <si>
    <t>Employee_340</t>
  </si>
  <si>
    <t>07/12/2022</t>
  </si>
  <si>
    <t>EMP341</t>
  </si>
  <si>
    <t>Employee_341</t>
  </si>
  <si>
    <t>15/04/2018</t>
  </si>
  <si>
    <t>EMP342</t>
  </si>
  <si>
    <t>Employee_342</t>
  </si>
  <si>
    <t>07/05/2018</t>
  </si>
  <si>
    <t>EMP343</t>
  </si>
  <si>
    <t>Employee_343</t>
  </si>
  <si>
    <t>28/12/2017</t>
  </si>
  <si>
    <t>EMP344</t>
  </si>
  <si>
    <t>Employee_344</t>
  </si>
  <si>
    <t>18/09/2024</t>
  </si>
  <si>
    <t>EMP345</t>
  </si>
  <si>
    <t>Employee_345</t>
  </si>
  <si>
    <t>EMP346</t>
  </si>
  <si>
    <t>Employee_346</t>
  </si>
  <si>
    <t>01/07/2024</t>
  </si>
  <si>
    <t>EMP347</t>
  </si>
  <si>
    <t>Employee_347</t>
  </si>
  <si>
    <t>16/09/2023</t>
  </si>
  <si>
    <t>EMP348</t>
  </si>
  <si>
    <t>Employee_348</t>
  </si>
  <si>
    <t>08/07/2017</t>
  </si>
  <si>
    <t>EMP349</t>
  </si>
  <si>
    <t>Employee_349</t>
  </si>
  <si>
    <t>21/11/2024</t>
  </si>
  <si>
    <t>EMP350</t>
  </si>
  <si>
    <t>Employee_350</t>
  </si>
  <si>
    <t>30/12/2022</t>
  </si>
  <si>
    <t>EMP351</t>
  </si>
  <si>
    <t>Employee_351</t>
  </si>
  <si>
    <t>26/12/2022</t>
  </si>
  <si>
    <t>EMP352</t>
  </si>
  <si>
    <t>Employee_352</t>
  </si>
  <si>
    <t>29/05/2019</t>
  </si>
  <si>
    <t>EMP353</t>
  </si>
  <si>
    <t>Employee_353</t>
  </si>
  <si>
    <t>02/11/2022</t>
  </si>
  <si>
    <t>EMP354</t>
  </si>
  <si>
    <t>Employee_354</t>
  </si>
  <si>
    <t>12/10/2015</t>
  </si>
  <si>
    <t>EMP355</t>
  </si>
  <si>
    <t>Employee_355</t>
  </si>
  <si>
    <t>13/02/2023</t>
  </si>
  <si>
    <t>EMP356</t>
  </si>
  <si>
    <t>Employee_356</t>
  </si>
  <si>
    <t>10/04/2021</t>
  </si>
  <si>
    <t>EMP357</t>
  </si>
  <si>
    <t>Employee_357</t>
  </si>
  <si>
    <t>27/05/2016</t>
  </si>
  <si>
    <t>EMP358</t>
  </si>
  <si>
    <t>Employee_358</t>
  </si>
  <si>
    <t>EMP359</t>
  </si>
  <si>
    <t>Employee_359</t>
  </si>
  <si>
    <t>31/07/2021</t>
  </si>
  <si>
    <t>EMP360</t>
  </si>
  <si>
    <t>Employee_360</t>
  </si>
  <si>
    <t>09/12/2024</t>
  </si>
  <si>
    <t>EMP361</t>
  </si>
  <si>
    <t>Employee_361</t>
  </si>
  <si>
    <t>18/04/2018</t>
  </si>
  <si>
    <t>EMP362</t>
  </si>
  <si>
    <t>Employee_362</t>
  </si>
  <si>
    <t>18/11/2016</t>
  </si>
  <si>
    <t>EMP363</t>
  </si>
  <si>
    <t>Employee_363</t>
  </si>
  <si>
    <t>EMP364</t>
  </si>
  <si>
    <t>Employee_364</t>
  </si>
  <si>
    <t>27/07/2023</t>
  </si>
  <si>
    <t>EMP365</t>
  </si>
  <si>
    <t>Employee_365</t>
  </si>
  <si>
    <t>27/01/2022</t>
  </si>
  <si>
    <t>EMP366</t>
  </si>
  <si>
    <t>Employee_366</t>
  </si>
  <si>
    <t>13/01/2022</t>
  </si>
  <si>
    <t>EMP367</t>
  </si>
  <si>
    <t>Employee_367</t>
  </si>
  <si>
    <t>02/02/2025</t>
  </si>
  <si>
    <t>EMP368</t>
  </si>
  <si>
    <t>Employee_368</t>
  </si>
  <si>
    <t>08/08/2025</t>
  </si>
  <si>
    <t>EMP369</t>
  </si>
  <si>
    <t>Employee_369</t>
  </si>
  <si>
    <t>EMP370</t>
  </si>
  <si>
    <t>Employee_370</t>
  </si>
  <si>
    <t>24/04/2017</t>
  </si>
  <si>
    <t>EMP371</t>
  </si>
  <si>
    <t>Employee_371</t>
  </si>
  <si>
    <t>EMP372</t>
  </si>
  <si>
    <t>Employee_372</t>
  </si>
  <si>
    <t>23/04/2018</t>
  </si>
  <si>
    <t>EMP373</t>
  </si>
  <si>
    <t>Employee_373</t>
  </si>
  <si>
    <t>16/11/2021</t>
  </si>
  <si>
    <t>EMP374</t>
  </si>
  <si>
    <t>Employee_374</t>
  </si>
  <si>
    <t>10/09/2023</t>
  </si>
  <si>
    <t>EMP375</t>
  </si>
  <si>
    <t>Employee_375</t>
  </si>
  <si>
    <t>06/09/2020</t>
  </si>
  <si>
    <t>EMP376</t>
  </si>
  <si>
    <t>Employee_376</t>
  </si>
  <si>
    <t>10/09/2024</t>
  </si>
  <si>
    <t>EMP377</t>
  </si>
  <si>
    <t>Employee_377</t>
  </si>
  <si>
    <t>15/05/2020</t>
  </si>
  <si>
    <t>EMP378</t>
  </si>
  <si>
    <t>Employee_378</t>
  </si>
  <si>
    <t>05/03/2025</t>
  </si>
  <si>
    <t>EMP379</t>
  </si>
  <si>
    <t>Employee_379</t>
  </si>
  <si>
    <t>23/05/2015</t>
  </si>
  <si>
    <t>EMP380</t>
  </si>
  <si>
    <t>Employee_380</t>
  </si>
  <si>
    <t>EMP381</t>
  </si>
  <si>
    <t>Employee_381</t>
  </si>
  <si>
    <t>20/10/2020</t>
  </si>
  <si>
    <t>EMP382</t>
  </si>
  <si>
    <t>Employee_382</t>
  </si>
  <si>
    <t>09/10/2019</t>
  </si>
  <si>
    <t>EMP383</t>
  </si>
  <si>
    <t>Employee_383</t>
  </si>
  <si>
    <t>02/01/2015</t>
  </si>
  <si>
    <t>EMP384</t>
  </si>
  <si>
    <t>Employee_384</t>
  </si>
  <si>
    <t>EMP385</t>
  </si>
  <si>
    <t>Employee_385</t>
  </si>
  <si>
    <t>31/07/2024</t>
  </si>
  <si>
    <t>EMP386</t>
  </si>
  <si>
    <t>Employee_386</t>
  </si>
  <si>
    <t>15/09/2015</t>
  </si>
  <si>
    <t>EMP387</t>
  </si>
  <si>
    <t>Employee_387</t>
  </si>
  <si>
    <t>18/01/2024</t>
  </si>
  <si>
    <t>EMP388</t>
  </si>
  <si>
    <t>Employee_388</t>
  </si>
  <si>
    <t>30/10/2015</t>
  </si>
  <si>
    <t>EMP389</t>
  </si>
  <si>
    <t>Employee_389</t>
  </si>
  <si>
    <t>30/09/2015</t>
  </si>
  <si>
    <t>EMP390</t>
  </si>
  <si>
    <t>Employee_390</t>
  </si>
  <si>
    <t>24/06/2024</t>
  </si>
  <si>
    <t>EMP391</t>
  </si>
  <si>
    <t>Employee_391</t>
  </si>
  <si>
    <t>18/06/2021</t>
  </si>
  <si>
    <t>EMP392</t>
  </si>
  <si>
    <t>Employee_392</t>
  </si>
  <si>
    <t>03/06/2018</t>
  </si>
  <si>
    <t>EMP393</t>
  </si>
  <si>
    <t>Employee_393</t>
  </si>
  <si>
    <t>03/09/2021</t>
  </si>
  <si>
    <t>EMP394</t>
  </si>
  <si>
    <t>Employee_394</t>
  </si>
  <si>
    <t>21/07/2017</t>
  </si>
  <si>
    <t>EMP395</t>
  </si>
  <si>
    <t>Employee_395</t>
  </si>
  <si>
    <t>21/12/2021</t>
  </si>
  <si>
    <t>EMP396</t>
  </si>
  <si>
    <t>Employee_396</t>
  </si>
  <si>
    <t>02/07/2024</t>
  </si>
  <si>
    <t>EMP397</t>
  </si>
  <si>
    <t>Employee_397</t>
  </si>
  <si>
    <t>30/01/2016</t>
  </si>
  <si>
    <t>EMP398</t>
  </si>
  <si>
    <t>Employee_398</t>
  </si>
  <si>
    <t>08/05/2021</t>
  </si>
  <si>
    <t>EMP399</t>
  </si>
  <si>
    <t>Employee_399</t>
  </si>
  <si>
    <t>03/02/2024</t>
  </si>
  <si>
    <t>EMP400</t>
  </si>
  <si>
    <t>Employee_400</t>
  </si>
  <si>
    <t>08/02/2023</t>
  </si>
  <si>
    <t>Employee Data Dashboard</t>
  </si>
  <si>
    <t>Metric</t>
  </si>
  <si>
    <t>Value</t>
  </si>
  <si>
    <t>Count</t>
  </si>
  <si>
    <t>Total Employees</t>
  </si>
  <si>
    <t>Active Employees</t>
  </si>
  <si>
    <t>Average Salary</t>
  </si>
  <si>
    <t>Max Salary</t>
  </si>
  <si>
    <t>Min Salary</t>
  </si>
  <si>
    <t>IT Department Count</t>
  </si>
  <si>
    <t>Row Labels</t>
  </si>
  <si>
    <t>Grand Total</t>
  </si>
  <si>
    <t>Sum of Salary</t>
  </si>
  <si>
    <t>Average of Experience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</si>
</sst>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6"/>
      <color rgb="FF1F497D"/>
      <name val="Calibri"/>
      <family val="2"/>
    </font>
  </fonts>
  <fills count="3">
    <fill>
      <patternFill patternType="none"/>
    </fill>
    <fill>
      <patternFill patternType="gray125"/>
    </fill>
    <fill>
      <patternFill patternType="solid">
        <fgColor rgb="FF4F81BD"/>
        <bgColor rgb="FF4F81BD"/>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xf>
    <xf numFmtId="0" fontId="2" fillId="0" borderId="0" xfId="0" applyFont="1"/>
    <xf numFmtId="0" fontId="1" fillId="2" borderId="0" xfId="0" applyFont="1" applyFill="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IN"/>
              <a:t>Employees by Department</a:t>
            </a:r>
          </a:p>
        </c:rich>
      </c:tx>
      <c:overlay val="0"/>
    </c:title>
    <c:autoTitleDeleted val="0"/>
    <c:plotArea>
      <c:layout/>
      <c:barChart>
        <c:barDir val="col"/>
        <c:grouping val="clustered"/>
        <c:varyColors val="0"/>
        <c:ser>
          <c:idx val="0"/>
          <c:order val="0"/>
          <c:tx>
            <c:strRef>
              <c:f>Dashboard!$E$3</c:f>
              <c:strCache>
                <c:ptCount val="1"/>
                <c:pt idx="0">
                  <c:v>Count</c:v>
                </c:pt>
              </c:strCache>
            </c:strRef>
          </c:tx>
          <c:spPr>
            <a:ln>
              <a:prstDash val="solid"/>
            </a:ln>
          </c:spPr>
          <c:invertIfNegative val="0"/>
          <c:cat>
            <c:strRef>
              <c:f>Dashboard!$D$4:$D$9</c:f>
              <c:strCache>
                <c:ptCount val="6"/>
                <c:pt idx="0">
                  <c:v>Sales</c:v>
                </c:pt>
                <c:pt idx="1">
                  <c:v>HR</c:v>
                </c:pt>
                <c:pt idx="2">
                  <c:v>IT</c:v>
                </c:pt>
                <c:pt idx="3">
                  <c:v>Marketing</c:v>
                </c:pt>
                <c:pt idx="4">
                  <c:v>Finance</c:v>
                </c:pt>
                <c:pt idx="5">
                  <c:v>Support</c:v>
                </c:pt>
              </c:strCache>
            </c:strRef>
          </c:cat>
          <c:val>
            <c:numRef>
              <c:f>Dashboard!$E$4:$E$9</c:f>
              <c:numCache>
                <c:formatCode>General</c:formatCode>
                <c:ptCount val="6"/>
                <c:pt idx="0">
                  <c:v>66</c:v>
                </c:pt>
                <c:pt idx="1">
                  <c:v>76</c:v>
                </c:pt>
                <c:pt idx="2">
                  <c:v>62</c:v>
                </c:pt>
                <c:pt idx="3">
                  <c:v>70</c:v>
                </c:pt>
                <c:pt idx="4">
                  <c:v>69</c:v>
                </c:pt>
                <c:pt idx="5">
                  <c:v>57</c:v>
                </c:pt>
              </c:numCache>
            </c:numRef>
          </c:val>
          <c:extLst>
            <c:ext xmlns:c16="http://schemas.microsoft.com/office/drawing/2014/chart" uri="{C3380CC4-5D6E-409C-BE32-E72D297353CC}">
              <c16:uniqueId val="{00000000-255C-274C-AEA5-DCA380FD7F50}"/>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IN"/>
                  <a:t>Department</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IN"/>
                  <a:t>Count</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IN"/>
              <a:t>Employee Status Distribution</a:t>
            </a:r>
          </a:p>
        </c:rich>
      </c:tx>
      <c:overlay val="0"/>
    </c:title>
    <c:autoTitleDeleted val="0"/>
    <c:plotArea>
      <c:layout/>
      <c:pieChart>
        <c:varyColors val="1"/>
        <c:ser>
          <c:idx val="0"/>
          <c:order val="0"/>
          <c:tx>
            <c:strRef>
              <c:f>Dashboard!$H$3</c:f>
              <c:strCache>
                <c:ptCount val="1"/>
                <c:pt idx="0">
                  <c:v>Count</c:v>
                </c:pt>
              </c:strCache>
            </c:strRef>
          </c:tx>
          <c:spPr>
            <a:ln>
              <a:prstDash val="solid"/>
            </a:ln>
          </c:spPr>
          <c:cat>
            <c:strRef>
              <c:f>Dashboard!$G$4:$G$6</c:f>
              <c:strCache>
                <c:ptCount val="3"/>
                <c:pt idx="0">
                  <c:v>Active</c:v>
                </c:pt>
                <c:pt idx="1">
                  <c:v>Resigned</c:v>
                </c:pt>
                <c:pt idx="2">
                  <c:v>On Leave</c:v>
                </c:pt>
              </c:strCache>
            </c:strRef>
          </c:cat>
          <c:val>
            <c:numRef>
              <c:f>Dashboard!$H$4:$H$6</c:f>
              <c:numCache>
                <c:formatCode>General</c:formatCode>
                <c:ptCount val="3"/>
                <c:pt idx="0">
                  <c:v>117</c:v>
                </c:pt>
                <c:pt idx="1">
                  <c:v>148</c:v>
                </c:pt>
                <c:pt idx="2">
                  <c:v>135</c:v>
                </c:pt>
              </c:numCache>
            </c:numRef>
          </c:val>
          <c:extLst>
            <c:ext xmlns:c16="http://schemas.microsoft.com/office/drawing/2014/chart" uri="{C3380CC4-5D6E-409C-BE32-E72D297353CC}">
              <c16:uniqueId val="{00000000-5EC2-284A-911C-3700F21B0BCE}"/>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[24MCA20457_EmployeeDataManagement.xlsx]Dashboard!PivotTable2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Sum According</a:t>
            </a:r>
            <a:r>
              <a:rPr lang="en-US" baseline="0"/>
              <a:t> to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Dashboard!$K$3</c:f>
              <c:strCache>
                <c:ptCount val="1"/>
                <c:pt idx="0">
                  <c:v>Total</c:v>
                </c:pt>
              </c:strCache>
            </c:strRef>
          </c:tx>
          <c:spPr>
            <a:solidFill>
              <a:schemeClr val="accent1"/>
            </a:solidFill>
            <a:ln>
              <a:noFill/>
            </a:ln>
            <a:effectLst/>
          </c:spPr>
          <c:invertIfNegative val="0"/>
          <c:cat>
            <c:strRef>
              <c:f>Dashboard!$J$4:$J$10</c:f>
              <c:strCache>
                <c:ptCount val="6"/>
                <c:pt idx="0">
                  <c:v>Finance</c:v>
                </c:pt>
                <c:pt idx="1">
                  <c:v>HR</c:v>
                </c:pt>
                <c:pt idx="2">
                  <c:v>IT</c:v>
                </c:pt>
                <c:pt idx="3">
                  <c:v>Marketing</c:v>
                </c:pt>
                <c:pt idx="4">
                  <c:v>Sales</c:v>
                </c:pt>
                <c:pt idx="5">
                  <c:v>Support</c:v>
                </c:pt>
              </c:strCache>
            </c:strRef>
          </c:cat>
          <c:val>
            <c:numRef>
              <c:f>Dashboard!$K$4:$K$10</c:f>
              <c:numCache>
                <c:formatCode>General</c:formatCode>
                <c:ptCount val="6"/>
                <c:pt idx="0">
                  <c:v>4915596</c:v>
                </c:pt>
                <c:pt idx="1">
                  <c:v>5693612</c:v>
                </c:pt>
                <c:pt idx="2">
                  <c:v>4916657</c:v>
                </c:pt>
                <c:pt idx="3">
                  <c:v>4804448</c:v>
                </c:pt>
                <c:pt idx="4">
                  <c:v>4805016</c:v>
                </c:pt>
                <c:pt idx="5">
                  <c:v>4363538</c:v>
                </c:pt>
              </c:numCache>
            </c:numRef>
          </c:val>
          <c:extLst>
            <c:ext xmlns:c16="http://schemas.microsoft.com/office/drawing/2014/chart" uri="{C3380CC4-5D6E-409C-BE32-E72D297353CC}">
              <c16:uniqueId val="{00000000-1FEF-0243-86CE-24F5FA020701}"/>
            </c:ext>
          </c:extLst>
        </c:ser>
        <c:dLbls>
          <c:showLegendKey val="0"/>
          <c:showVal val="0"/>
          <c:showCatName val="0"/>
          <c:showSerName val="0"/>
          <c:showPercent val="0"/>
          <c:showBubbleSize val="0"/>
        </c:dLbls>
        <c:gapWidth val="150"/>
        <c:overlap val="100"/>
        <c:axId val="1648045888"/>
        <c:axId val="1648044096"/>
      </c:barChart>
      <c:catAx>
        <c:axId val="164804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044096"/>
        <c:crosses val="autoZero"/>
        <c:auto val="1"/>
        <c:lblAlgn val="ctr"/>
        <c:lblOffset val="100"/>
        <c:noMultiLvlLbl val="0"/>
      </c:catAx>
      <c:valAx>
        <c:axId val="1648044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04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[24MCA20457_EmployeeDataManagement.xlsx]Dashboard!PivotTable3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Experience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Dashboard!$P$14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cat>
            <c:multiLvlStrRef>
              <c:f>Dashboard!$O$15:$O$51</c:f>
              <c:multiLvlStrCache>
                <c:ptCount val="30"/>
                <c:lvl>
                  <c:pt idx="0">
                    <c:v>Analyst</c:v>
                  </c:pt>
                  <c:pt idx="1">
                    <c:v>Engineer</c:v>
                  </c:pt>
                  <c:pt idx="2">
                    <c:v>Executive</c:v>
                  </c:pt>
                  <c:pt idx="3">
                    <c:v>Manager</c:v>
                  </c:pt>
                  <c:pt idx="4">
                    <c:v>Specialist</c:v>
                  </c:pt>
                  <c:pt idx="5">
                    <c:v>Analyst</c:v>
                  </c:pt>
                  <c:pt idx="6">
                    <c:v>Engineer</c:v>
                  </c:pt>
                  <c:pt idx="7">
                    <c:v>Executive</c:v>
                  </c:pt>
                  <c:pt idx="8">
                    <c:v>Manager</c:v>
                  </c:pt>
                  <c:pt idx="9">
                    <c:v>Specialist</c:v>
                  </c:pt>
                  <c:pt idx="10">
                    <c:v>Analyst</c:v>
                  </c:pt>
                  <c:pt idx="11">
                    <c:v>Engineer</c:v>
                  </c:pt>
                  <c:pt idx="12">
                    <c:v>Executive</c:v>
                  </c:pt>
                  <c:pt idx="13">
                    <c:v>Manager</c:v>
                  </c:pt>
                  <c:pt idx="14">
                    <c:v>Specialist</c:v>
                  </c:pt>
                  <c:pt idx="15">
                    <c:v>Analyst</c:v>
                  </c:pt>
                  <c:pt idx="16">
                    <c:v>Engineer</c:v>
                  </c:pt>
                  <c:pt idx="17">
                    <c:v>Executive</c:v>
                  </c:pt>
                  <c:pt idx="18">
                    <c:v>Manager</c:v>
                  </c:pt>
                  <c:pt idx="19">
                    <c:v>Specialist</c:v>
                  </c:pt>
                  <c:pt idx="20">
                    <c:v>Analyst</c:v>
                  </c:pt>
                  <c:pt idx="21">
                    <c:v>Engineer</c:v>
                  </c:pt>
                  <c:pt idx="22">
                    <c:v>Executive</c:v>
                  </c:pt>
                  <c:pt idx="23">
                    <c:v>Manager</c:v>
                  </c:pt>
                  <c:pt idx="24">
                    <c:v>Specialist</c:v>
                  </c:pt>
                  <c:pt idx="25">
                    <c:v>Analyst</c:v>
                  </c:pt>
                  <c:pt idx="26">
                    <c:v>Engineer</c:v>
                  </c:pt>
                  <c:pt idx="27">
                    <c:v>Executive</c:v>
                  </c:pt>
                  <c:pt idx="28">
                    <c:v>Manager</c:v>
                  </c:pt>
                  <c:pt idx="29">
                    <c:v>Specialist</c:v>
                  </c:pt>
                </c:lvl>
                <c:lvl>
                  <c:pt idx="0">
                    <c:v>Finance</c:v>
                  </c:pt>
                  <c:pt idx="5">
                    <c:v>HR</c:v>
                  </c:pt>
                  <c:pt idx="10">
                    <c:v>IT</c:v>
                  </c:pt>
                  <c:pt idx="15">
                    <c:v>Marketing</c:v>
                  </c:pt>
                  <c:pt idx="20">
                    <c:v>Sales</c:v>
                  </c:pt>
                  <c:pt idx="25">
                    <c:v>Support</c:v>
                  </c:pt>
                </c:lvl>
              </c:multiLvlStrCache>
            </c:multiLvlStrRef>
          </c:cat>
          <c:val>
            <c:numRef>
              <c:f>Dashboard!$P$15:$P$51</c:f>
              <c:numCache>
                <c:formatCode>General</c:formatCode>
                <c:ptCount val="30"/>
                <c:pt idx="0">
                  <c:v>5.4545454545454541</c:v>
                </c:pt>
                <c:pt idx="1">
                  <c:v>5.882352941176471</c:v>
                </c:pt>
                <c:pt idx="2">
                  <c:v>4.8888888888888893</c:v>
                </c:pt>
                <c:pt idx="3">
                  <c:v>5.4285714285714288</c:v>
                </c:pt>
                <c:pt idx="4">
                  <c:v>3.8888888888888888</c:v>
                </c:pt>
                <c:pt idx="5">
                  <c:v>5.384615384615385</c:v>
                </c:pt>
                <c:pt idx="6">
                  <c:v>4.333333333333333</c:v>
                </c:pt>
                <c:pt idx="7">
                  <c:v>3.8571428571428572</c:v>
                </c:pt>
                <c:pt idx="8">
                  <c:v>3.6315789473684212</c:v>
                </c:pt>
                <c:pt idx="9">
                  <c:v>4.5999999999999996</c:v>
                </c:pt>
                <c:pt idx="10">
                  <c:v>5.1111111111111107</c:v>
                </c:pt>
                <c:pt idx="11">
                  <c:v>5.9333333333333336</c:v>
                </c:pt>
                <c:pt idx="12">
                  <c:v>5.1111111111111107</c:v>
                </c:pt>
                <c:pt idx="13">
                  <c:v>5.2</c:v>
                </c:pt>
                <c:pt idx="14">
                  <c:v>5.0999999999999996</c:v>
                </c:pt>
                <c:pt idx="15">
                  <c:v>6</c:v>
                </c:pt>
                <c:pt idx="16">
                  <c:v>5.666666666666667</c:v>
                </c:pt>
                <c:pt idx="17">
                  <c:v>3.5833333333333335</c:v>
                </c:pt>
                <c:pt idx="18">
                  <c:v>4.4444444444444446</c:v>
                </c:pt>
                <c:pt idx="19">
                  <c:v>3.8947368421052633</c:v>
                </c:pt>
                <c:pt idx="20">
                  <c:v>4</c:v>
                </c:pt>
                <c:pt idx="21">
                  <c:v>6.0769230769230766</c:v>
                </c:pt>
                <c:pt idx="22">
                  <c:v>6.4615384615384617</c:v>
                </c:pt>
                <c:pt idx="23">
                  <c:v>4.5454545454545459</c:v>
                </c:pt>
                <c:pt idx="24">
                  <c:v>5.4285714285714288</c:v>
                </c:pt>
                <c:pt idx="25">
                  <c:v>4.125</c:v>
                </c:pt>
                <c:pt idx="26">
                  <c:v>3</c:v>
                </c:pt>
                <c:pt idx="27">
                  <c:v>4.7272727272727275</c:v>
                </c:pt>
                <c:pt idx="28">
                  <c:v>6.75</c:v>
                </c:pt>
                <c:pt idx="29">
                  <c:v>4</c:v>
                </c:pt>
              </c:numCache>
            </c:numRef>
          </c:val>
          <c:extLst>
            <c:ext xmlns:c16="http://schemas.microsoft.com/office/drawing/2014/chart" uri="{C3380CC4-5D6E-409C-BE32-E72D297353CC}">
              <c16:uniqueId val="{00000000-3A39-D54F-A9E9-A7F29DF0252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10</xdr:col>
      <xdr:colOff>665480</xdr:colOff>
      <xdr:row>0</xdr:row>
      <xdr:rowOff>173903</xdr:rowOff>
    </xdr:from>
    <xdr:to>
      <xdr:col>13</xdr:col>
      <xdr:colOff>482600</xdr:colOff>
      <xdr:row>12</xdr:row>
      <xdr:rowOff>65486</xdr:rowOff>
    </xdr:to>
    <mc:AlternateContent xmlns:mc="http://schemas.openxmlformats.org/markup-compatibility/2006">
      <mc:Choice xmlns:sle15="http://schemas.microsoft.com/office/drawing/2012/slicer" Requires="sle15">
        <xdr:graphicFrame macro="">
          <xdr:nvGraphicFramePr>
            <xdr:cNvPr id="2" name="Department">
              <a:extLst>
                <a:ext uri="{FF2B5EF4-FFF2-40B4-BE49-F238E27FC236}">
                  <a16:creationId xmlns:a16="http://schemas.microsoft.com/office/drawing/2014/main" id="{5E03F035-4804-466D-8CD6-C10BD0EE83A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825480" y="173903"/>
              <a:ext cx="1820654" cy="2125031"/>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10160</xdr:colOff>
      <xdr:row>12</xdr:row>
      <xdr:rowOff>170181</xdr:rowOff>
    </xdr:from>
    <xdr:to>
      <xdr:col>13</xdr:col>
      <xdr:colOff>497840</xdr:colOff>
      <xdr:row>23</xdr:row>
      <xdr:rowOff>121921</xdr:rowOff>
    </xdr:to>
    <mc:AlternateContent xmlns:mc="http://schemas.openxmlformats.org/markup-compatibility/2006">
      <mc:Choice xmlns:sle15="http://schemas.microsoft.com/office/drawing/2012/slicer" Requires="sle15">
        <xdr:graphicFrame macro="">
          <xdr:nvGraphicFramePr>
            <xdr:cNvPr id="3" name="Designation">
              <a:extLst>
                <a:ext uri="{FF2B5EF4-FFF2-40B4-BE49-F238E27FC236}">
                  <a16:creationId xmlns:a16="http://schemas.microsoft.com/office/drawing/2014/main" id="{83A7CB27-F5A8-4393-F4F1-8AF7063CDA48}"/>
                </a:ext>
              </a:extLst>
            </xdr:cNvPr>
            <xdr:cNvGraphicFramePr/>
          </xdr:nvGraphicFramePr>
          <xdr:xfrm>
            <a:off x="0" y="0"/>
            <a:ext cx="0" cy="0"/>
          </xdr:xfrm>
          <a:graphic>
            <a:graphicData uri="http://schemas.microsoft.com/office/drawing/2010/slicer">
              <sle:slicer xmlns:sle="http://schemas.microsoft.com/office/drawing/2010/slicer" name="Designation"/>
            </a:graphicData>
          </a:graphic>
        </xdr:graphicFrame>
      </mc:Choice>
      <mc:Fallback>
        <xdr:sp macro="" textlink="">
          <xdr:nvSpPr>
            <xdr:cNvPr id="0" name=""/>
            <xdr:cNvSpPr>
              <a:spLocks noTextEdit="1"/>
            </xdr:cNvSpPr>
          </xdr:nvSpPr>
          <xdr:spPr>
            <a:xfrm>
              <a:off x="10838005" y="2403629"/>
              <a:ext cx="1823369" cy="1999068"/>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15240</xdr:colOff>
      <xdr:row>25</xdr:row>
      <xdr:rowOff>22860</xdr:rowOff>
    </xdr:from>
    <xdr:to>
      <xdr:col>13</xdr:col>
      <xdr:colOff>502920</xdr:colOff>
      <xdr:row>37</xdr:row>
      <xdr:rowOff>135249</xdr:rowOff>
    </xdr:to>
    <mc:AlternateContent xmlns:mc="http://schemas.openxmlformats.org/markup-compatibility/2006">
      <mc:Choice xmlns:sle15="http://schemas.microsoft.com/office/drawing/2012/slicer" Requires="sle15">
        <xdr:graphicFrame macro="">
          <xdr:nvGraphicFramePr>
            <xdr:cNvPr id="4" name="Experience (Years)">
              <a:extLst>
                <a:ext uri="{FF2B5EF4-FFF2-40B4-BE49-F238E27FC236}">
                  <a16:creationId xmlns:a16="http://schemas.microsoft.com/office/drawing/2014/main" id="{F005A77C-07CA-7E2D-65C7-CD7BE5F80DFA}"/>
                </a:ext>
              </a:extLst>
            </xdr:cNvPr>
            <xdr:cNvGraphicFramePr/>
          </xdr:nvGraphicFramePr>
          <xdr:xfrm>
            <a:off x="0" y="0"/>
            <a:ext cx="0" cy="0"/>
          </xdr:xfrm>
          <a:graphic>
            <a:graphicData uri="http://schemas.microsoft.com/office/drawing/2010/slicer">
              <sle:slicer xmlns:sle="http://schemas.microsoft.com/office/drawing/2010/slicer" name="Experience (Years)"/>
            </a:graphicData>
          </a:graphic>
        </xdr:graphicFrame>
      </mc:Choice>
      <mc:Fallback>
        <xdr:sp macro="" textlink="">
          <xdr:nvSpPr>
            <xdr:cNvPr id="0" name=""/>
            <xdr:cNvSpPr>
              <a:spLocks noTextEdit="1"/>
            </xdr:cNvSpPr>
          </xdr:nvSpPr>
          <xdr:spPr>
            <a:xfrm>
              <a:off x="10843085" y="4675877"/>
              <a:ext cx="1823369" cy="2345838"/>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12700</xdr:colOff>
      <xdr:row>10</xdr:row>
      <xdr:rowOff>27709</xdr:rowOff>
    </xdr:from>
    <xdr:ext cx="5400000" cy="27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124692</xdr:colOff>
      <xdr:row>25</xdr:row>
      <xdr:rowOff>4619</xdr:rowOff>
    </xdr:from>
    <xdr:ext cx="5400000" cy="270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twoCellAnchor editAs="oneCell">
    <xdr:from>
      <xdr:col>11</xdr:col>
      <xdr:colOff>363683</xdr:colOff>
      <xdr:row>1</xdr:row>
      <xdr:rowOff>86593</xdr:rowOff>
    </xdr:from>
    <xdr:to>
      <xdr:col>14</xdr:col>
      <xdr:colOff>207818</xdr:colOff>
      <xdr:row>11</xdr:row>
      <xdr:rowOff>11546</xdr:rowOff>
    </xdr:to>
    <mc:AlternateContent xmlns:mc="http://schemas.openxmlformats.org/markup-compatibility/2006">
      <mc:Choice xmlns:a14="http://schemas.microsoft.com/office/drawing/2010/main" Requires="a14">
        <xdr:graphicFrame macro="">
          <xdr:nvGraphicFramePr>
            <xdr:cNvPr id="4" name="Department 6">
              <a:extLst>
                <a:ext uri="{FF2B5EF4-FFF2-40B4-BE49-F238E27FC236}">
                  <a16:creationId xmlns:a16="http://schemas.microsoft.com/office/drawing/2014/main" id="{27C445CF-E364-520D-9385-587136EC8015}"/>
                </a:ext>
              </a:extLst>
            </xdr:cNvPr>
            <xdr:cNvGraphicFramePr/>
          </xdr:nvGraphicFramePr>
          <xdr:xfrm>
            <a:off x="0" y="0"/>
            <a:ext cx="0" cy="0"/>
          </xdr:xfrm>
          <a:graphic>
            <a:graphicData uri="http://schemas.microsoft.com/office/drawing/2010/slicer">
              <sle:slicer xmlns:sle="http://schemas.microsoft.com/office/drawing/2010/slicer" name="Department 6"/>
            </a:graphicData>
          </a:graphic>
        </xdr:graphicFrame>
      </mc:Choice>
      <mc:Fallback>
        <xdr:sp macro="" textlink="">
          <xdr:nvSpPr>
            <xdr:cNvPr id="0" name=""/>
            <xdr:cNvSpPr>
              <a:spLocks noTextEdit="1"/>
            </xdr:cNvSpPr>
          </xdr:nvSpPr>
          <xdr:spPr>
            <a:xfrm>
              <a:off x="9888683" y="352138"/>
              <a:ext cx="1853044" cy="188768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548411</xdr:colOff>
      <xdr:row>11</xdr:row>
      <xdr:rowOff>123535</xdr:rowOff>
    </xdr:from>
    <xdr:to>
      <xdr:col>11</xdr:col>
      <xdr:colOff>640775</xdr:colOff>
      <xdr:row>25</xdr:row>
      <xdr:rowOff>118917</xdr:rowOff>
    </xdr:to>
    <xdr:graphicFrame macro="">
      <xdr:nvGraphicFramePr>
        <xdr:cNvPr id="5" name="Chart 4">
          <a:extLst>
            <a:ext uri="{FF2B5EF4-FFF2-40B4-BE49-F238E27FC236}">
              <a16:creationId xmlns:a16="http://schemas.microsoft.com/office/drawing/2014/main" id="{83D63FDB-4DFE-473D-AF3C-F8AF9B7BC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106219</xdr:colOff>
      <xdr:row>13</xdr:row>
      <xdr:rowOff>5773</xdr:rowOff>
    </xdr:from>
    <xdr:to>
      <xdr:col>18</xdr:col>
      <xdr:colOff>595746</xdr:colOff>
      <xdr:row>25</xdr:row>
      <xdr:rowOff>79369</xdr:rowOff>
    </xdr:to>
    <mc:AlternateContent xmlns:mc="http://schemas.openxmlformats.org/markup-compatibility/2006">
      <mc:Choice xmlns:a14="http://schemas.microsoft.com/office/drawing/2010/main" Requires="a14">
        <xdr:graphicFrame macro="">
          <xdr:nvGraphicFramePr>
            <xdr:cNvPr id="6" name="Designation 1">
              <a:extLst>
                <a:ext uri="{FF2B5EF4-FFF2-40B4-BE49-F238E27FC236}">
                  <a16:creationId xmlns:a16="http://schemas.microsoft.com/office/drawing/2014/main" id="{BF95C6C0-1EA0-8975-3690-EC1EF4400395}"/>
                </a:ext>
              </a:extLst>
            </xdr:cNvPr>
            <xdr:cNvGraphicFramePr/>
          </xdr:nvGraphicFramePr>
          <xdr:xfrm>
            <a:off x="0" y="0"/>
            <a:ext cx="0" cy="0"/>
          </xdr:xfrm>
          <a:graphic>
            <a:graphicData uri="http://schemas.microsoft.com/office/drawing/2010/slicer">
              <sle:slicer xmlns:sle="http://schemas.microsoft.com/office/drawing/2010/slicer" name="Designation 1"/>
            </a:graphicData>
          </a:graphic>
        </xdr:graphicFrame>
      </mc:Choice>
      <mc:Fallback>
        <xdr:sp macro="" textlink="">
          <xdr:nvSpPr>
            <xdr:cNvPr id="0" name=""/>
            <xdr:cNvSpPr>
              <a:spLocks noTextEdit="1"/>
            </xdr:cNvSpPr>
          </xdr:nvSpPr>
          <xdr:spPr>
            <a:xfrm>
              <a:off x="14411037" y="2626591"/>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127001</xdr:colOff>
      <xdr:row>29</xdr:row>
      <xdr:rowOff>42718</xdr:rowOff>
    </xdr:from>
    <xdr:to>
      <xdr:col>13</xdr:col>
      <xdr:colOff>219364</xdr:colOff>
      <xdr:row>43</xdr:row>
      <xdr:rowOff>38100</xdr:rowOff>
    </xdr:to>
    <xdr:graphicFrame macro="">
      <xdr:nvGraphicFramePr>
        <xdr:cNvPr id="7" name="Chart 6">
          <a:extLst>
            <a:ext uri="{FF2B5EF4-FFF2-40B4-BE49-F238E27FC236}">
              <a16:creationId xmlns:a16="http://schemas.microsoft.com/office/drawing/2014/main" id="{E5F6EE8E-366A-E63A-DDF5-F78FF8B677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tin Prajapati" refreshedDate="45957.569339120368" createdVersion="8" refreshedVersion="8" minRefreshableVersion="3" recordCount="400" xr:uid="{AAE363CE-AA6F-7648-B698-126065FBDF73}">
  <cacheSource type="worksheet">
    <worksheetSource name="EmployeeData"/>
  </cacheSource>
  <cacheFields count="10">
    <cacheField name="Employee ID" numFmtId="0">
      <sharedItems/>
    </cacheField>
    <cacheField name="Name" numFmtId="0">
      <sharedItems/>
    </cacheField>
    <cacheField name="Department" numFmtId="0">
      <sharedItems count="6">
        <s v="IT"/>
        <s v="Finance"/>
        <s v="Marketing"/>
        <s v="Sales"/>
        <s v="Support"/>
        <s v="HR"/>
      </sharedItems>
    </cacheField>
    <cacheField name="Designation" numFmtId="0">
      <sharedItems count="5">
        <s v="Analyst"/>
        <s v="Engineer"/>
        <s v="Specialist"/>
        <s v="Manager"/>
        <s v="Executive"/>
      </sharedItems>
    </cacheField>
    <cacheField name="Gender" numFmtId="0">
      <sharedItems count="3">
        <s v="Other"/>
        <s v="Male"/>
        <s v="Female"/>
      </sharedItems>
    </cacheField>
    <cacheField name="Date of Joining" numFmtId="0">
      <sharedItems/>
    </cacheField>
    <cacheField name="Salary" numFmtId="0">
      <sharedItems containsSemiMixedTypes="0" containsString="0" containsNumber="1" containsInteger="1" minValue="30226" maxValue="119629"/>
    </cacheField>
    <cacheField name="City" numFmtId="0">
      <sharedItems/>
    </cacheField>
    <cacheField name="Experience (Years)" numFmtId="0">
      <sharedItems containsSemiMixedTypes="0" containsString="0" containsNumber="1" containsInteger="1" minValue="0" maxValue="10"/>
    </cacheField>
    <cacheField name="Status" numFmtId="0">
      <sharedItems/>
    </cacheField>
  </cacheFields>
  <extLst>
    <ext xmlns:x14="http://schemas.microsoft.com/office/spreadsheetml/2009/9/main" uri="{725AE2AE-9491-48be-B2B4-4EB974FC3084}">
      <x14:pivotCacheDefinition pivotCacheId="2944838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EMP001"/>
    <s v="Employee_1"/>
    <x v="0"/>
    <x v="0"/>
    <x v="0"/>
    <s v="01/10/2024"/>
    <n v="70562"/>
    <s v="Chennai"/>
    <n v="10"/>
    <s v="On Leave"/>
  </r>
  <r>
    <s v="EMP002"/>
    <s v="Employee_2"/>
    <x v="0"/>
    <x v="1"/>
    <x v="0"/>
    <s v="24/08/2021"/>
    <n v="34616"/>
    <s v="Hyderabad"/>
    <n v="9"/>
    <s v="On Leave"/>
  </r>
  <r>
    <s v="EMP003"/>
    <s v="Employee_3"/>
    <x v="1"/>
    <x v="1"/>
    <x v="1"/>
    <s v="27/02/2021"/>
    <n v="110703"/>
    <s v="Delhi"/>
    <n v="10"/>
    <s v="On Leave"/>
  </r>
  <r>
    <s v="EMP004"/>
    <s v="Employee_4"/>
    <x v="2"/>
    <x v="0"/>
    <x v="1"/>
    <s v="01/01/2017"/>
    <n v="36701"/>
    <s v="Pune"/>
    <n v="1"/>
    <s v="On Leave"/>
  </r>
  <r>
    <s v="EMP005"/>
    <s v="Employee_5"/>
    <x v="1"/>
    <x v="1"/>
    <x v="1"/>
    <s v="05/03/2023"/>
    <n v="86767"/>
    <s v="Kolkata"/>
    <n v="0"/>
    <s v="Active"/>
  </r>
  <r>
    <s v="EMP006"/>
    <s v="Employee_6"/>
    <x v="2"/>
    <x v="0"/>
    <x v="1"/>
    <s v="16/12/2018"/>
    <n v="51967"/>
    <s v="Bangalore"/>
    <n v="9"/>
    <s v="Active"/>
  </r>
  <r>
    <s v="EMP007"/>
    <s v="Employee_7"/>
    <x v="3"/>
    <x v="0"/>
    <x v="2"/>
    <s v="15/09/2020"/>
    <n v="105123"/>
    <s v="Kolkata"/>
    <n v="10"/>
    <s v="Active"/>
  </r>
  <r>
    <s v="EMP008"/>
    <s v="Employee_8"/>
    <x v="2"/>
    <x v="0"/>
    <x v="1"/>
    <s v="10/06/2015"/>
    <n v="36230"/>
    <s v="Pune"/>
    <n v="6"/>
    <s v="Resigned"/>
  </r>
  <r>
    <s v="EMP009"/>
    <s v="Employee_9"/>
    <x v="2"/>
    <x v="2"/>
    <x v="2"/>
    <s v="06/03/2023"/>
    <n v="47690"/>
    <s v="Bangalore"/>
    <n v="0"/>
    <s v="Active"/>
  </r>
  <r>
    <s v="EMP010"/>
    <s v="Employee_10"/>
    <x v="4"/>
    <x v="3"/>
    <x v="1"/>
    <s v="22/12/2023"/>
    <n v="113097"/>
    <s v="Pune"/>
    <n v="2"/>
    <s v="Resigned"/>
  </r>
  <r>
    <s v="EMP011"/>
    <s v="Employee_11"/>
    <x v="4"/>
    <x v="4"/>
    <x v="1"/>
    <s v="11/01/2018"/>
    <n v="72643"/>
    <s v="Hyderabad"/>
    <n v="4"/>
    <s v="Resigned"/>
  </r>
  <r>
    <s v="EMP012"/>
    <s v="Employee_12"/>
    <x v="3"/>
    <x v="0"/>
    <x v="0"/>
    <s v="01/06/2023"/>
    <n v="118975"/>
    <s v="Pune"/>
    <n v="0"/>
    <s v="Active"/>
  </r>
  <r>
    <s v="EMP013"/>
    <s v="Employee_13"/>
    <x v="0"/>
    <x v="1"/>
    <x v="0"/>
    <s v="18/07/2024"/>
    <n v="101037"/>
    <s v="Bangalore"/>
    <n v="6"/>
    <s v="Resigned"/>
  </r>
  <r>
    <s v="EMP014"/>
    <s v="Employee_14"/>
    <x v="3"/>
    <x v="0"/>
    <x v="1"/>
    <s v="21/10/2025"/>
    <n v="85008"/>
    <s v="Bangalore"/>
    <n v="5"/>
    <s v="On Leave"/>
  </r>
  <r>
    <s v="EMP015"/>
    <s v="Employee_15"/>
    <x v="3"/>
    <x v="0"/>
    <x v="2"/>
    <s v="20/03/2025"/>
    <n v="67175"/>
    <s v="Mumbai"/>
    <n v="1"/>
    <s v="Active"/>
  </r>
  <r>
    <s v="EMP016"/>
    <s v="Employee_16"/>
    <x v="5"/>
    <x v="3"/>
    <x v="2"/>
    <s v="26/06/2019"/>
    <n v="91957"/>
    <s v="Chennai"/>
    <n v="1"/>
    <s v="Resigned"/>
  </r>
  <r>
    <s v="EMP017"/>
    <s v="Employee_17"/>
    <x v="0"/>
    <x v="3"/>
    <x v="2"/>
    <s v="30/09/2022"/>
    <n v="69530"/>
    <s v="Mumbai"/>
    <n v="6"/>
    <s v="Resigned"/>
  </r>
  <r>
    <s v="EMP018"/>
    <s v="Employee_18"/>
    <x v="0"/>
    <x v="3"/>
    <x v="0"/>
    <s v="09/08/2018"/>
    <n v="80912"/>
    <s v="Pune"/>
    <n v="5"/>
    <s v="Active"/>
  </r>
  <r>
    <s v="EMP019"/>
    <s v="Employee_19"/>
    <x v="2"/>
    <x v="1"/>
    <x v="1"/>
    <s v="11/09/2018"/>
    <n v="92744"/>
    <s v="Delhi"/>
    <n v="5"/>
    <s v="Active"/>
  </r>
  <r>
    <s v="EMP020"/>
    <s v="Employee_20"/>
    <x v="4"/>
    <x v="1"/>
    <x v="1"/>
    <s v="11/05/2018"/>
    <n v="109146"/>
    <s v="Hyderabad"/>
    <n v="0"/>
    <s v="Active"/>
  </r>
  <r>
    <s v="EMP021"/>
    <s v="Employee_21"/>
    <x v="2"/>
    <x v="4"/>
    <x v="0"/>
    <s v="29/03/2022"/>
    <n v="87571"/>
    <s v="Pune"/>
    <n v="4"/>
    <s v="Resigned"/>
  </r>
  <r>
    <s v="EMP022"/>
    <s v="Employee_22"/>
    <x v="0"/>
    <x v="2"/>
    <x v="0"/>
    <s v="27/03/2015"/>
    <n v="54999"/>
    <s v="Mumbai"/>
    <n v="2"/>
    <s v="Active"/>
  </r>
  <r>
    <s v="EMP023"/>
    <s v="Employee_23"/>
    <x v="4"/>
    <x v="4"/>
    <x v="2"/>
    <s v="27/09/2015"/>
    <n v="116623"/>
    <s v="Kolkata"/>
    <n v="3"/>
    <s v="Resigned"/>
  </r>
  <r>
    <s v="EMP024"/>
    <s v="Employee_24"/>
    <x v="4"/>
    <x v="1"/>
    <x v="1"/>
    <s v="28/04/2025"/>
    <n v="101456"/>
    <s v="Kolkata"/>
    <n v="0"/>
    <s v="Resigned"/>
  </r>
  <r>
    <s v="EMP025"/>
    <s v="Employee_25"/>
    <x v="0"/>
    <x v="0"/>
    <x v="1"/>
    <s v="26/04/2025"/>
    <n v="77622"/>
    <s v="Chennai"/>
    <n v="8"/>
    <s v="On Leave"/>
  </r>
  <r>
    <s v="EMP026"/>
    <s v="Employee_26"/>
    <x v="3"/>
    <x v="1"/>
    <x v="0"/>
    <s v="18/02/2024"/>
    <n v="113814"/>
    <s v="Pune"/>
    <n v="7"/>
    <s v="Resigned"/>
  </r>
  <r>
    <s v="EMP027"/>
    <s v="Employee_27"/>
    <x v="3"/>
    <x v="2"/>
    <x v="2"/>
    <s v="06/02/2025"/>
    <n v="90091"/>
    <s v="Chennai"/>
    <n v="1"/>
    <s v="Active"/>
  </r>
  <r>
    <s v="EMP028"/>
    <s v="Employee_28"/>
    <x v="4"/>
    <x v="3"/>
    <x v="2"/>
    <s v="10/03/2023"/>
    <n v="53556"/>
    <s v="Pune"/>
    <n v="9"/>
    <s v="On Leave"/>
  </r>
  <r>
    <s v="EMP029"/>
    <s v="Employee_29"/>
    <x v="5"/>
    <x v="2"/>
    <x v="2"/>
    <s v="03/10/2022"/>
    <n v="94802"/>
    <s v="Chennai"/>
    <n v="2"/>
    <s v="Resigned"/>
  </r>
  <r>
    <s v="EMP030"/>
    <s v="Employee_30"/>
    <x v="0"/>
    <x v="0"/>
    <x v="0"/>
    <s v="22/04/2019"/>
    <n v="78013"/>
    <s v="Mumbai"/>
    <n v="3"/>
    <s v="On Leave"/>
  </r>
  <r>
    <s v="EMP031"/>
    <s v="Employee_31"/>
    <x v="1"/>
    <x v="1"/>
    <x v="0"/>
    <s v="19/12/2024"/>
    <n v="117339"/>
    <s v="Pune"/>
    <n v="7"/>
    <s v="Active"/>
  </r>
  <r>
    <s v="EMP032"/>
    <s v="Employee_32"/>
    <x v="5"/>
    <x v="2"/>
    <x v="0"/>
    <s v="15/01/2024"/>
    <n v="81073"/>
    <s v="Delhi"/>
    <n v="0"/>
    <s v="Active"/>
  </r>
  <r>
    <s v="EMP033"/>
    <s v="Employee_33"/>
    <x v="5"/>
    <x v="1"/>
    <x v="1"/>
    <s v="04/06/2020"/>
    <n v="75201"/>
    <s v="Hyderabad"/>
    <n v="7"/>
    <s v="Active"/>
  </r>
  <r>
    <s v="EMP034"/>
    <s v="Employee_34"/>
    <x v="2"/>
    <x v="4"/>
    <x v="2"/>
    <s v="24/02/2021"/>
    <n v="53564"/>
    <s v="Chennai"/>
    <n v="0"/>
    <s v="Resigned"/>
  </r>
  <r>
    <s v="EMP035"/>
    <s v="Employee_35"/>
    <x v="5"/>
    <x v="3"/>
    <x v="1"/>
    <s v="30/09/2016"/>
    <n v="77310"/>
    <s v="Delhi"/>
    <n v="7"/>
    <s v="Resigned"/>
  </r>
  <r>
    <s v="EMP036"/>
    <s v="Employee_36"/>
    <x v="5"/>
    <x v="4"/>
    <x v="2"/>
    <s v="20/10/2019"/>
    <n v="42393"/>
    <s v="Kolkata"/>
    <n v="4"/>
    <s v="Resigned"/>
  </r>
  <r>
    <s v="EMP037"/>
    <s v="Employee_37"/>
    <x v="5"/>
    <x v="4"/>
    <x v="1"/>
    <s v="04/12/2017"/>
    <n v="97457"/>
    <s v="Mumbai"/>
    <n v="4"/>
    <s v="Resigned"/>
  </r>
  <r>
    <s v="EMP038"/>
    <s v="Employee_38"/>
    <x v="3"/>
    <x v="2"/>
    <x v="2"/>
    <s v="27/02/2019"/>
    <n v="67113"/>
    <s v="Chennai"/>
    <n v="10"/>
    <s v="Resigned"/>
  </r>
  <r>
    <s v="EMP039"/>
    <s v="Employee_39"/>
    <x v="2"/>
    <x v="3"/>
    <x v="1"/>
    <s v="26/11/2019"/>
    <n v="44186"/>
    <s v="Kolkata"/>
    <n v="0"/>
    <s v="Resigned"/>
  </r>
  <r>
    <s v="EMP040"/>
    <s v="Employee_40"/>
    <x v="3"/>
    <x v="3"/>
    <x v="1"/>
    <s v="10/03/2025"/>
    <n v="30226"/>
    <s v="Chennai"/>
    <n v="6"/>
    <s v="Resigned"/>
  </r>
  <r>
    <s v="EMP041"/>
    <s v="Employee_41"/>
    <x v="3"/>
    <x v="3"/>
    <x v="2"/>
    <s v="13/10/2023"/>
    <n v="63652"/>
    <s v="Kolkata"/>
    <n v="1"/>
    <s v="Resigned"/>
  </r>
  <r>
    <s v="EMP042"/>
    <s v="Employee_42"/>
    <x v="3"/>
    <x v="1"/>
    <x v="0"/>
    <s v="24/11/2025"/>
    <n v="96648"/>
    <s v="Mumbai"/>
    <n v="9"/>
    <s v="Active"/>
  </r>
  <r>
    <s v="EMP043"/>
    <s v="Employee_43"/>
    <x v="5"/>
    <x v="1"/>
    <x v="0"/>
    <s v="13/04/2018"/>
    <n v="39904"/>
    <s v="Bangalore"/>
    <n v="8"/>
    <s v="Resigned"/>
  </r>
  <r>
    <s v="EMP044"/>
    <s v="Employee_44"/>
    <x v="3"/>
    <x v="1"/>
    <x v="1"/>
    <s v="23/09/2021"/>
    <n v="48761"/>
    <s v="Bangalore"/>
    <n v="8"/>
    <s v="Resigned"/>
  </r>
  <r>
    <s v="EMP045"/>
    <s v="Employee_45"/>
    <x v="1"/>
    <x v="0"/>
    <x v="2"/>
    <s v="08/08/2019"/>
    <n v="65287"/>
    <s v="Kolkata"/>
    <n v="7"/>
    <s v="Resigned"/>
  </r>
  <r>
    <s v="EMP046"/>
    <s v="Employee_46"/>
    <x v="2"/>
    <x v="1"/>
    <x v="2"/>
    <s v="09/03/2018"/>
    <n v="58884"/>
    <s v="Mumbai"/>
    <n v="9"/>
    <s v="Resigned"/>
  </r>
  <r>
    <s v="EMP047"/>
    <s v="Employee_47"/>
    <x v="4"/>
    <x v="0"/>
    <x v="2"/>
    <s v="15/01/2020"/>
    <n v="95159"/>
    <s v="Kolkata"/>
    <n v="0"/>
    <s v="Resigned"/>
  </r>
  <r>
    <s v="EMP048"/>
    <s v="Employee_48"/>
    <x v="5"/>
    <x v="3"/>
    <x v="1"/>
    <s v="03/08/2022"/>
    <n v="112036"/>
    <s v="Chennai"/>
    <n v="2"/>
    <s v="Active"/>
  </r>
  <r>
    <s v="EMP049"/>
    <s v="Employee_49"/>
    <x v="5"/>
    <x v="0"/>
    <x v="2"/>
    <s v="04/08/2024"/>
    <n v="35787"/>
    <s v="Chennai"/>
    <n v="3"/>
    <s v="On Leave"/>
  </r>
  <r>
    <s v="EMP050"/>
    <s v="Employee_50"/>
    <x v="5"/>
    <x v="2"/>
    <x v="2"/>
    <s v="14/08/2022"/>
    <n v="73225"/>
    <s v="Pune"/>
    <n v="9"/>
    <s v="Active"/>
  </r>
  <r>
    <s v="EMP051"/>
    <s v="Employee_51"/>
    <x v="1"/>
    <x v="4"/>
    <x v="1"/>
    <s v="22/10/2015"/>
    <n v="50379"/>
    <s v="Pune"/>
    <n v="5"/>
    <s v="On Leave"/>
  </r>
  <r>
    <s v="EMP052"/>
    <s v="Employee_52"/>
    <x v="0"/>
    <x v="0"/>
    <x v="2"/>
    <s v="01/06/2020"/>
    <n v="116273"/>
    <s v="Hyderabad"/>
    <n v="10"/>
    <s v="On Leave"/>
  </r>
  <r>
    <s v="EMP053"/>
    <s v="Employee_53"/>
    <x v="1"/>
    <x v="2"/>
    <x v="0"/>
    <s v="19/10/2019"/>
    <n v="63203"/>
    <s v="Delhi"/>
    <n v="6"/>
    <s v="On Leave"/>
  </r>
  <r>
    <s v="EMP054"/>
    <s v="Employee_54"/>
    <x v="3"/>
    <x v="1"/>
    <x v="0"/>
    <s v="24/04/2016"/>
    <n v="49261"/>
    <s v="Bangalore"/>
    <n v="10"/>
    <s v="Active"/>
  </r>
  <r>
    <s v="EMP055"/>
    <s v="Employee_55"/>
    <x v="3"/>
    <x v="3"/>
    <x v="0"/>
    <s v="09/06/2025"/>
    <n v="72415"/>
    <s v="Mumbai"/>
    <n v="8"/>
    <s v="On Leave"/>
  </r>
  <r>
    <s v="EMP056"/>
    <s v="Employee_56"/>
    <x v="0"/>
    <x v="1"/>
    <x v="2"/>
    <s v="11/03/2018"/>
    <n v="94966"/>
    <s v="Hyderabad"/>
    <n v="3"/>
    <s v="Resigned"/>
  </r>
  <r>
    <s v="EMP057"/>
    <s v="Employee_57"/>
    <x v="3"/>
    <x v="3"/>
    <x v="0"/>
    <s v="25/02/2016"/>
    <n v="49727"/>
    <s v="Delhi"/>
    <n v="2"/>
    <s v="On Leave"/>
  </r>
  <r>
    <s v="EMP058"/>
    <s v="Employee_58"/>
    <x v="3"/>
    <x v="4"/>
    <x v="1"/>
    <s v="14/05/2016"/>
    <n v="101969"/>
    <s v="Pune"/>
    <n v="9"/>
    <s v="On Leave"/>
  </r>
  <r>
    <s v="EMP059"/>
    <s v="Employee_59"/>
    <x v="3"/>
    <x v="3"/>
    <x v="0"/>
    <s v="25/10/2017"/>
    <n v="59321"/>
    <s v="Hyderabad"/>
    <n v="7"/>
    <s v="Active"/>
  </r>
  <r>
    <s v="EMP060"/>
    <s v="Employee_60"/>
    <x v="0"/>
    <x v="4"/>
    <x v="0"/>
    <s v="28/03/2017"/>
    <n v="101950"/>
    <s v="Pune"/>
    <n v="6"/>
    <s v="Resigned"/>
  </r>
  <r>
    <s v="EMP061"/>
    <s v="Employee_61"/>
    <x v="5"/>
    <x v="4"/>
    <x v="2"/>
    <s v="30/11/2018"/>
    <n v="108128"/>
    <s v="Pune"/>
    <n v="4"/>
    <s v="On Leave"/>
  </r>
  <r>
    <s v="EMP062"/>
    <s v="Employee_62"/>
    <x v="4"/>
    <x v="2"/>
    <x v="1"/>
    <s v="02/06/2017"/>
    <n v="45967"/>
    <s v="Chennai"/>
    <n v="4"/>
    <s v="Active"/>
  </r>
  <r>
    <s v="EMP063"/>
    <s v="Employee_63"/>
    <x v="3"/>
    <x v="3"/>
    <x v="0"/>
    <s v="04/03/2025"/>
    <n v="71147"/>
    <s v="Hyderabad"/>
    <n v="0"/>
    <s v="Resigned"/>
  </r>
  <r>
    <s v="EMP064"/>
    <s v="Employee_64"/>
    <x v="0"/>
    <x v="1"/>
    <x v="0"/>
    <s v="11/05/2015"/>
    <n v="74984"/>
    <s v="Kolkata"/>
    <n v="1"/>
    <s v="Active"/>
  </r>
  <r>
    <s v="EMP065"/>
    <s v="Employee_65"/>
    <x v="4"/>
    <x v="2"/>
    <x v="0"/>
    <s v="11/08/2019"/>
    <n v="109957"/>
    <s v="Delhi"/>
    <n v="7"/>
    <s v="Active"/>
  </r>
  <r>
    <s v="EMP066"/>
    <s v="Employee_66"/>
    <x v="3"/>
    <x v="1"/>
    <x v="1"/>
    <s v="07/11/2023"/>
    <n v="66853"/>
    <s v="Chennai"/>
    <n v="10"/>
    <s v="On Leave"/>
  </r>
  <r>
    <s v="EMP067"/>
    <s v="Employee_67"/>
    <x v="5"/>
    <x v="0"/>
    <x v="2"/>
    <s v="05/12/2018"/>
    <n v="63871"/>
    <s v="Pune"/>
    <n v="7"/>
    <s v="On Leave"/>
  </r>
  <r>
    <s v="EMP068"/>
    <s v="Employee_68"/>
    <x v="4"/>
    <x v="0"/>
    <x v="0"/>
    <s v="02/04/2025"/>
    <n v="67161"/>
    <s v="Bangalore"/>
    <n v="7"/>
    <s v="Active"/>
  </r>
  <r>
    <s v="EMP069"/>
    <s v="Employee_69"/>
    <x v="4"/>
    <x v="2"/>
    <x v="1"/>
    <s v="27/11/2023"/>
    <n v="112460"/>
    <s v="Bangalore"/>
    <n v="0"/>
    <s v="Active"/>
  </r>
  <r>
    <s v="EMP070"/>
    <s v="Employee_70"/>
    <x v="5"/>
    <x v="0"/>
    <x v="0"/>
    <s v="27/07/2017"/>
    <n v="42361"/>
    <s v="Kolkata"/>
    <n v="3"/>
    <s v="Resigned"/>
  </r>
  <r>
    <s v="EMP071"/>
    <s v="Employee_71"/>
    <x v="5"/>
    <x v="3"/>
    <x v="2"/>
    <s v="22/05/2019"/>
    <n v="88161"/>
    <s v="Bangalore"/>
    <n v="0"/>
    <s v="Active"/>
  </r>
  <r>
    <s v="EMP072"/>
    <s v="Employee_72"/>
    <x v="1"/>
    <x v="1"/>
    <x v="1"/>
    <s v="15/11/2017"/>
    <n v="67081"/>
    <s v="Chennai"/>
    <n v="7"/>
    <s v="On Leave"/>
  </r>
  <r>
    <s v="EMP073"/>
    <s v="Employee_73"/>
    <x v="0"/>
    <x v="3"/>
    <x v="2"/>
    <s v="08/08/2015"/>
    <n v="67443"/>
    <s v="Kolkata"/>
    <n v="7"/>
    <s v="On Leave"/>
  </r>
  <r>
    <s v="EMP074"/>
    <s v="Employee_74"/>
    <x v="0"/>
    <x v="3"/>
    <x v="2"/>
    <s v="22/11/2023"/>
    <n v="42449"/>
    <s v="Bangalore"/>
    <n v="3"/>
    <s v="On Leave"/>
  </r>
  <r>
    <s v="EMP075"/>
    <s v="Employee_75"/>
    <x v="2"/>
    <x v="4"/>
    <x v="0"/>
    <s v="07/02/2022"/>
    <n v="36975"/>
    <s v="Pune"/>
    <n v="5"/>
    <s v="Resigned"/>
  </r>
  <r>
    <s v="EMP076"/>
    <s v="Employee_76"/>
    <x v="1"/>
    <x v="2"/>
    <x v="1"/>
    <s v="31/05/2021"/>
    <n v="89018"/>
    <s v="Pune"/>
    <n v="10"/>
    <s v="Active"/>
  </r>
  <r>
    <s v="EMP077"/>
    <s v="Employee_77"/>
    <x v="1"/>
    <x v="4"/>
    <x v="0"/>
    <s v="17/02/2017"/>
    <n v="73374"/>
    <s v="Kolkata"/>
    <n v="8"/>
    <s v="Resigned"/>
  </r>
  <r>
    <s v="EMP078"/>
    <s v="Employee_78"/>
    <x v="2"/>
    <x v="0"/>
    <x v="2"/>
    <s v="20/03/2020"/>
    <n v="37501"/>
    <s v="Chennai"/>
    <n v="6"/>
    <s v="Active"/>
  </r>
  <r>
    <s v="EMP079"/>
    <s v="Employee_79"/>
    <x v="2"/>
    <x v="1"/>
    <x v="0"/>
    <s v="08/12/2024"/>
    <n v="102279"/>
    <s v="Bangalore"/>
    <n v="9"/>
    <s v="Resigned"/>
  </r>
  <r>
    <s v="EMP080"/>
    <s v="Employee_80"/>
    <x v="1"/>
    <x v="1"/>
    <x v="0"/>
    <s v="18/09/2018"/>
    <n v="80631"/>
    <s v="Hyderabad"/>
    <n v="2"/>
    <s v="Active"/>
  </r>
  <r>
    <s v="EMP081"/>
    <s v="Employee_81"/>
    <x v="2"/>
    <x v="1"/>
    <x v="0"/>
    <s v="17/10/2025"/>
    <n v="54257"/>
    <s v="Hyderabad"/>
    <n v="5"/>
    <s v="Resigned"/>
  </r>
  <r>
    <s v="EMP082"/>
    <s v="Employee_82"/>
    <x v="4"/>
    <x v="3"/>
    <x v="1"/>
    <s v="01/10/2023"/>
    <n v="39383"/>
    <s v="Chennai"/>
    <n v="8"/>
    <s v="On Leave"/>
  </r>
  <r>
    <s v="EMP083"/>
    <s v="Employee_83"/>
    <x v="1"/>
    <x v="2"/>
    <x v="0"/>
    <s v="27/05/2021"/>
    <n v="71676"/>
    <s v="Hyderabad"/>
    <n v="1"/>
    <s v="On Leave"/>
  </r>
  <r>
    <s v="EMP084"/>
    <s v="Employee_84"/>
    <x v="5"/>
    <x v="0"/>
    <x v="1"/>
    <s v="16/09/2016"/>
    <n v="36315"/>
    <s v="Kolkata"/>
    <n v="0"/>
    <s v="Active"/>
  </r>
  <r>
    <s v="EMP085"/>
    <s v="Employee_85"/>
    <x v="5"/>
    <x v="2"/>
    <x v="0"/>
    <s v="26/08/2016"/>
    <n v="104221"/>
    <s v="Chennai"/>
    <n v="7"/>
    <s v="On Leave"/>
  </r>
  <r>
    <s v="EMP086"/>
    <s v="Employee_86"/>
    <x v="0"/>
    <x v="2"/>
    <x v="1"/>
    <s v="06/11/2019"/>
    <n v="52835"/>
    <s v="Kolkata"/>
    <n v="1"/>
    <s v="Resigned"/>
  </r>
  <r>
    <s v="EMP087"/>
    <s v="Employee_87"/>
    <x v="2"/>
    <x v="2"/>
    <x v="2"/>
    <s v="22/10/2019"/>
    <n v="49733"/>
    <s v="Bangalore"/>
    <n v="3"/>
    <s v="On Leave"/>
  </r>
  <r>
    <s v="EMP088"/>
    <s v="Employee_88"/>
    <x v="2"/>
    <x v="2"/>
    <x v="1"/>
    <s v="09/03/2020"/>
    <n v="97386"/>
    <s v="Pune"/>
    <n v="1"/>
    <s v="Resigned"/>
  </r>
  <r>
    <s v="EMP089"/>
    <s v="Employee_89"/>
    <x v="5"/>
    <x v="4"/>
    <x v="2"/>
    <s v="22/04/2015"/>
    <n v="43053"/>
    <s v="Kolkata"/>
    <n v="7"/>
    <s v="Active"/>
  </r>
  <r>
    <s v="EMP090"/>
    <s v="Employee_90"/>
    <x v="1"/>
    <x v="0"/>
    <x v="2"/>
    <s v="22/07/2015"/>
    <n v="110323"/>
    <s v="Delhi"/>
    <n v="7"/>
    <s v="Active"/>
  </r>
  <r>
    <s v="EMP091"/>
    <s v="Employee_91"/>
    <x v="1"/>
    <x v="1"/>
    <x v="2"/>
    <s v="08/07/2019"/>
    <n v="59894"/>
    <s v="Kolkata"/>
    <n v="10"/>
    <s v="Active"/>
  </r>
  <r>
    <s v="EMP092"/>
    <s v="Employee_92"/>
    <x v="3"/>
    <x v="1"/>
    <x v="1"/>
    <s v="19/01/2025"/>
    <n v="31705"/>
    <s v="Chennai"/>
    <n v="5"/>
    <s v="Active"/>
  </r>
  <r>
    <s v="EMP093"/>
    <s v="Employee_93"/>
    <x v="2"/>
    <x v="1"/>
    <x v="0"/>
    <s v="13/11/2025"/>
    <n v="88587"/>
    <s v="Delhi"/>
    <n v="4"/>
    <s v="On Leave"/>
  </r>
  <r>
    <s v="EMP094"/>
    <s v="Employee_94"/>
    <x v="5"/>
    <x v="1"/>
    <x v="1"/>
    <s v="11/04/2017"/>
    <n v="74459"/>
    <s v="Bangalore"/>
    <n v="3"/>
    <s v="Active"/>
  </r>
  <r>
    <s v="EMP095"/>
    <s v="Employee_95"/>
    <x v="4"/>
    <x v="1"/>
    <x v="2"/>
    <s v="28/09/2024"/>
    <n v="44717"/>
    <s v="Mumbai"/>
    <n v="2"/>
    <s v="Active"/>
  </r>
  <r>
    <s v="EMP096"/>
    <s v="Employee_96"/>
    <x v="5"/>
    <x v="2"/>
    <x v="0"/>
    <s v="21/11/2017"/>
    <n v="51065"/>
    <s v="Pune"/>
    <n v="4"/>
    <s v="On Leave"/>
  </r>
  <r>
    <s v="EMP097"/>
    <s v="Employee_97"/>
    <x v="1"/>
    <x v="1"/>
    <x v="2"/>
    <s v="13/10/2023"/>
    <n v="66377"/>
    <s v="Delhi"/>
    <n v="2"/>
    <s v="Resigned"/>
  </r>
  <r>
    <s v="EMP098"/>
    <s v="Employee_98"/>
    <x v="1"/>
    <x v="0"/>
    <x v="2"/>
    <s v="27/05/2024"/>
    <n v="101540"/>
    <s v="Bangalore"/>
    <n v="2"/>
    <s v="On Leave"/>
  </r>
  <r>
    <s v="EMP099"/>
    <s v="Employee_99"/>
    <x v="1"/>
    <x v="4"/>
    <x v="2"/>
    <s v="17/06/2015"/>
    <n v="36366"/>
    <s v="Delhi"/>
    <n v="8"/>
    <s v="Active"/>
  </r>
  <r>
    <s v="EMP100"/>
    <s v="Employee_100"/>
    <x v="2"/>
    <x v="2"/>
    <x v="0"/>
    <s v="10/07/2025"/>
    <n v="83752"/>
    <s v="Chennai"/>
    <n v="10"/>
    <s v="Active"/>
  </r>
  <r>
    <s v="EMP101"/>
    <s v="Employee_101"/>
    <x v="3"/>
    <x v="3"/>
    <x v="2"/>
    <s v="19/11/2022"/>
    <n v="67767"/>
    <s v="Bangalore"/>
    <n v="10"/>
    <s v="Resigned"/>
  </r>
  <r>
    <s v="EMP102"/>
    <s v="Employee_102"/>
    <x v="0"/>
    <x v="0"/>
    <x v="0"/>
    <s v="28/05/2017"/>
    <n v="75412"/>
    <s v="Hyderabad"/>
    <n v="9"/>
    <s v="On Leave"/>
  </r>
  <r>
    <s v="EMP103"/>
    <s v="Employee_103"/>
    <x v="3"/>
    <x v="0"/>
    <x v="2"/>
    <s v="24/03/2020"/>
    <n v="51628"/>
    <s v="Kolkata"/>
    <n v="1"/>
    <s v="On Leave"/>
  </r>
  <r>
    <s v="EMP104"/>
    <s v="Employee_104"/>
    <x v="5"/>
    <x v="0"/>
    <x v="0"/>
    <s v="17/09/2016"/>
    <n v="55756"/>
    <s v="Kolkata"/>
    <n v="5"/>
    <s v="Active"/>
  </r>
  <r>
    <s v="EMP105"/>
    <s v="Employee_105"/>
    <x v="2"/>
    <x v="4"/>
    <x v="1"/>
    <s v="26/11/2023"/>
    <n v="101512"/>
    <s v="Pune"/>
    <n v="6"/>
    <s v="Active"/>
  </r>
  <r>
    <s v="EMP106"/>
    <s v="Employee_106"/>
    <x v="5"/>
    <x v="4"/>
    <x v="0"/>
    <s v="29/12/2022"/>
    <n v="49560"/>
    <s v="Kolkata"/>
    <n v="1"/>
    <s v="Resigned"/>
  </r>
  <r>
    <s v="EMP107"/>
    <s v="Employee_107"/>
    <x v="0"/>
    <x v="0"/>
    <x v="1"/>
    <s v="01/10/2022"/>
    <n v="44481"/>
    <s v="Bangalore"/>
    <n v="5"/>
    <s v="Resigned"/>
  </r>
  <r>
    <s v="EMP108"/>
    <s v="Employee_108"/>
    <x v="3"/>
    <x v="4"/>
    <x v="2"/>
    <s v="05/08/2021"/>
    <n v="104552"/>
    <s v="Hyderabad"/>
    <n v="6"/>
    <s v="On Leave"/>
  </r>
  <r>
    <s v="EMP109"/>
    <s v="Employee_109"/>
    <x v="2"/>
    <x v="4"/>
    <x v="2"/>
    <s v="04/03/2022"/>
    <n v="102581"/>
    <s v="Pune"/>
    <n v="2"/>
    <s v="On Leave"/>
  </r>
  <r>
    <s v="EMP110"/>
    <s v="Employee_110"/>
    <x v="0"/>
    <x v="4"/>
    <x v="0"/>
    <s v="14/05/2022"/>
    <n v="39459"/>
    <s v="Pune"/>
    <n v="3"/>
    <s v="On Leave"/>
  </r>
  <r>
    <s v="EMP111"/>
    <s v="Employee_111"/>
    <x v="5"/>
    <x v="1"/>
    <x v="1"/>
    <s v="28/10/2025"/>
    <n v="45314"/>
    <s v="Delhi"/>
    <n v="0"/>
    <s v="On Leave"/>
  </r>
  <r>
    <s v="EMP112"/>
    <s v="Employee_112"/>
    <x v="5"/>
    <x v="3"/>
    <x v="0"/>
    <s v="20/04/2021"/>
    <n v="49953"/>
    <s v="Bangalore"/>
    <n v="0"/>
    <s v="Resigned"/>
  </r>
  <r>
    <s v="EMP113"/>
    <s v="Employee_113"/>
    <x v="3"/>
    <x v="0"/>
    <x v="0"/>
    <s v="19/02/2018"/>
    <n v="97354"/>
    <s v="Chennai"/>
    <n v="9"/>
    <s v="Active"/>
  </r>
  <r>
    <s v="EMP114"/>
    <s v="Employee_114"/>
    <x v="4"/>
    <x v="3"/>
    <x v="0"/>
    <s v="10/03/2019"/>
    <n v="86850"/>
    <s v="Mumbai"/>
    <n v="9"/>
    <s v="On Leave"/>
  </r>
  <r>
    <s v="EMP115"/>
    <s v="Employee_115"/>
    <x v="2"/>
    <x v="0"/>
    <x v="0"/>
    <s v="23/03/2024"/>
    <n v="93605"/>
    <s v="Pune"/>
    <n v="10"/>
    <s v="Resigned"/>
  </r>
  <r>
    <s v="EMP116"/>
    <s v="Employee_116"/>
    <x v="2"/>
    <x v="4"/>
    <x v="1"/>
    <s v="13/01/2023"/>
    <n v="33553"/>
    <s v="Hyderabad"/>
    <n v="1"/>
    <s v="Active"/>
  </r>
  <r>
    <s v="EMP117"/>
    <s v="Employee_117"/>
    <x v="4"/>
    <x v="0"/>
    <x v="0"/>
    <s v="20/10/2024"/>
    <n v="49470"/>
    <s v="Bangalore"/>
    <n v="2"/>
    <s v="On Leave"/>
  </r>
  <r>
    <s v="EMP118"/>
    <s v="Employee_118"/>
    <x v="1"/>
    <x v="2"/>
    <x v="0"/>
    <s v="05/04/2017"/>
    <n v="110802"/>
    <s v="Delhi"/>
    <n v="0"/>
    <s v="Resigned"/>
  </r>
  <r>
    <s v="EMP119"/>
    <s v="Employee_119"/>
    <x v="5"/>
    <x v="2"/>
    <x v="2"/>
    <s v="18/06/2018"/>
    <n v="111977"/>
    <s v="Mumbai"/>
    <n v="8"/>
    <s v="Active"/>
  </r>
  <r>
    <s v="EMP120"/>
    <s v="Employee_120"/>
    <x v="0"/>
    <x v="0"/>
    <x v="2"/>
    <s v="26/07/2018"/>
    <n v="70749"/>
    <s v="Kolkata"/>
    <n v="3"/>
    <s v="Resigned"/>
  </r>
  <r>
    <s v="EMP121"/>
    <s v="Employee_121"/>
    <x v="5"/>
    <x v="0"/>
    <x v="2"/>
    <s v="06/01/2023"/>
    <n v="72975"/>
    <s v="Mumbai"/>
    <n v="7"/>
    <s v="On Leave"/>
  </r>
  <r>
    <s v="EMP122"/>
    <s v="Employee_122"/>
    <x v="5"/>
    <x v="4"/>
    <x v="1"/>
    <s v="05/03/2019"/>
    <n v="101950"/>
    <s v="Hyderabad"/>
    <n v="10"/>
    <s v="Active"/>
  </r>
  <r>
    <s v="EMP123"/>
    <s v="Employee_123"/>
    <x v="1"/>
    <x v="1"/>
    <x v="1"/>
    <s v="07/07/2022"/>
    <n v="115135"/>
    <s v="Delhi"/>
    <n v="4"/>
    <s v="Resigned"/>
  </r>
  <r>
    <s v="EMP124"/>
    <s v="Employee_124"/>
    <x v="0"/>
    <x v="4"/>
    <x v="1"/>
    <s v="01/06/2020"/>
    <n v="80756"/>
    <s v="Kolkata"/>
    <n v="2"/>
    <s v="Active"/>
  </r>
  <r>
    <s v="EMP125"/>
    <s v="Employee_125"/>
    <x v="1"/>
    <x v="4"/>
    <x v="0"/>
    <s v="07/03/2020"/>
    <n v="33231"/>
    <s v="Mumbai"/>
    <n v="6"/>
    <s v="Resigned"/>
  </r>
  <r>
    <s v="EMP126"/>
    <s v="Employee_126"/>
    <x v="4"/>
    <x v="4"/>
    <x v="2"/>
    <s v="20/05/2024"/>
    <n v="73871"/>
    <s v="Mumbai"/>
    <n v="1"/>
    <s v="Resigned"/>
  </r>
  <r>
    <s v="EMP127"/>
    <s v="Employee_127"/>
    <x v="1"/>
    <x v="4"/>
    <x v="0"/>
    <s v="28/01/2015"/>
    <n v="54278"/>
    <s v="Chennai"/>
    <n v="0"/>
    <s v="On Leave"/>
  </r>
  <r>
    <s v="EMP128"/>
    <s v="Employee_128"/>
    <x v="3"/>
    <x v="0"/>
    <x v="0"/>
    <s v="17/04/2025"/>
    <n v="60792"/>
    <s v="Mumbai"/>
    <n v="4"/>
    <s v="On Leave"/>
  </r>
  <r>
    <s v="EMP129"/>
    <s v="Employee_129"/>
    <x v="3"/>
    <x v="1"/>
    <x v="1"/>
    <s v="06/10/2025"/>
    <n v="38727"/>
    <s v="Hyderabad"/>
    <n v="5"/>
    <s v="On Leave"/>
  </r>
  <r>
    <s v="EMP130"/>
    <s v="Employee_130"/>
    <x v="2"/>
    <x v="0"/>
    <x v="2"/>
    <s v="25/12/2025"/>
    <n v="84291"/>
    <s v="Mumbai"/>
    <n v="1"/>
    <s v="On Leave"/>
  </r>
  <r>
    <s v="EMP131"/>
    <s v="Employee_131"/>
    <x v="4"/>
    <x v="3"/>
    <x v="2"/>
    <s v="07/01/2016"/>
    <n v="70800"/>
    <s v="Delhi"/>
    <n v="7"/>
    <s v="Resigned"/>
  </r>
  <r>
    <s v="EMP132"/>
    <s v="Employee_132"/>
    <x v="4"/>
    <x v="3"/>
    <x v="1"/>
    <s v="25/10/2019"/>
    <n v="40355"/>
    <s v="Mumbai"/>
    <n v="5"/>
    <s v="Active"/>
  </r>
  <r>
    <s v="EMP133"/>
    <s v="Employee_133"/>
    <x v="1"/>
    <x v="1"/>
    <x v="2"/>
    <s v="12/12/2017"/>
    <n v="57525"/>
    <s v="Chennai"/>
    <n v="5"/>
    <s v="On Leave"/>
  </r>
  <r>
    <s v="EMP134"/>
    <s v="Employee_134"/>
    <x v="0"/>
    <x v="4"/>
    <x v="2"/>
    <s v="23/06/2025"/>
    <n v="118962"/>
    <s v="Chennai"/>
    <n v="1"/>
    <s v="Resigned"/>
  </r>
  <r>
    <s v="EMP135"/>
    <s v="Employee_135"/>
    <x v="3"/>
    <x v="0"/>
    <x v="1"/>
    <s v="28/08/2020"/>
    <n v="57349"/>
    <s v="Hyderabad"/>
    <n v="5"/>
    <s v="Active"/>
  </r>
  <r>
    <s v="EMP136"/>
    <s v="Employee_136"/>
    <x v="0"/>
    <x v="0"/>
    <x v="0"/>
    <s v="28/09/2025"/>
    <n v="61115"/>
    <s v="Delhi"/>
    <n v="10"/>
    <s v="On Leave"/>
  </r>
  <r>
    <s v="EMP137"/>
    <s v="Employee_137"/>
    <x v="5"/>
    <x v="2"/>
    <x v="1"/>
    <s v="21/10/2018"/>
    <n v="98292"/>
    <s v="Kolkata"/>
    <n v="1"/>
    <s v="Resigned"/>
  </r>
  <r>
    <s v="EMP138"/>
    <s v="Employee_138"/>
    <x v="5"/>
    <x v="3"/>
    <x v="1"/>
    <s v="01/03/2015"/>
    <n v="61256"/>
    <s v="Mumbai"/>
    <n v="4"/>
    <s v="Resigned"/>
  </r>
  <r>
    <s v="EMP139"/>
    <s v="Employee_139"/>
    <x v="5"/>
    <x v="4"/>
    <x v="1"/>
    <s v="14/12/2015"/>
    <n v="94275"/>
    <s v="Kolkata"/>
    <n v="1"/>
    <s v="Resigned"/>
  </r>
  <r>
    <s v="EMP140"/>
    <s v="Employee_140"/>
    <x v="3"/>
    <x v="4"/>
    <x v="0"/>
    <s v="13/06/2024"/>
    <n v="106580"/>
    <s v="Delhi"/>
    <n v="7"/>
    <s v="Resigned"/>
  </r>
  <r>
    <s v="EMP141"/>
    <s v="Employee_141"/>
    <x v="5"/>
    <x v="3"/>
    <x v="2"/>
    <s v="10/07/2016"/>
    <n v="74106"/>
    <s v="Kolkata"/>
    <n v="2"/>
    <s v="Resigned"/>
  </r>
  <r>
    <s v="EMP142"/>
    <s v="Employee_142"/>
    <x v="2"/>
    <x v="3"/>
    <x v="2"/>
    <s v="04/12/2018"/>
    <n v="42381"/>
    <s v="Mumbai"/>
    <n v="2"/>
    <s v="Active"/>
  </r>
  <r>
    <s v="EMP143"/>
    <s v="Employee_143"/>
    <x v="3"/>
    <x v="2"/>
    <x v="1"/>
    <s v="22/05/2019"/>
    <n v="92908"/>
    <s v="Pune"/>
    <n v="0"/>
    <s v="Resigned"/>
  </r>
  <r>
    <s v="EMP144"/>
    <s v="Employee_144"/>
    <x v="5"/>
    <x v="3"/>
    <x v="2"/>
    <s v="23/03/2016"/>
    <n v="107963"/>
    <s v="Chennai"/>
    <n v="3"/>
    <s v="Resigned"/>
  </r>
  <r>
    <s v="EMP145"/>
    <s v="Employee_145"/>
    <x v="3"/>
    <x v="2"/>
    <x v="1"/>
    <s v="19/07/2025"/>
    <n v="107214"/>
    <s v="Bangalore"/>
    <n v="9"/>
    <s v="On Leave"/>
  </r>
  <r>
    <s v="EMP146"/>
    <s v="Employee_146"/>
    <x v="2"/>
    <x v="1"/>
    <x v="1"/>
    <s v="25/05/2015"/>
    <n v="31032"/>
    <s v="Chennai"/>
    <n v="7"/>
    <s v="On Leave"/>
  </r>
  <r>
    <s v="EMP147"/>
    <s v="Employee_147"/>
    <x v="5"/>
    <x v="3"/>
    <x v="0"/>
    <s v="10/03/2017"/>
    <n v="40153"/>
    <s v="Pune"/>
    <n v="3"/>
    <s v="On Leave"/>
  </r>
  <r>
    <s v="EMP148"/>
    <s v="Employee_148"/>
    <x v="5"/>
    <x v="2"/>
    <x v="1"/>
    <s v="23/09/2023"/>
    <n v="100295"/>
    <s v="Bangalore"/>
    <n v="3"/>
    <s v="Resigned"/>
  </r>
  <r>
    <s v="EMP149"/>
    <s v="Employee_149"/>
    <x v="1"/>
    <x v="1"/>
    <x v="2"/>
    <s v="09/03/2025"/>
    <n v="43848"/>
    <s v="Bangalore"/>
    <n v="6"/>
    <s v="Active"/>
  </r>
  <r>
    <s v="EMP150"/>
    <s v="Employee_150"/>
    <x v="0"/>
    <x v="3"/>
    <x v="0"/>
    <s v="11/06/2019"/>
    <n v="82566"/>
    <s v="Pune"/>
    <n v="5"/>
    <s v="Resigned"/>
  </r>
  <r>
    <s v="EMP151"/>
    <s v="Employee_151"/>
    <x v="2"/>
    <x v="0"/>
    <x v="0"/>
    <s v="06/04/2022"/>
    <n v="76359"/>
    <s v="Bangalore"/>
    <n v="1"/>
    <s v="Active"/>
  </r>
  <r>
    <s v="EMP152"/>
    <s v="Employee_152"/>
    <x v="4"/>
    <x v="0"/>
    <x v="1"/>
    <s v="30/04/2020"/>
    <n v="114034"/>
    <s v="Hyderabad"/>
    <n v="0"/>
    <s v="On Leave"/>
  </r>
  <r>
    <s v="EMP153"/>
    <s v="Employee_153"/>
    <x v="0"/>
    <x v="4"/>
    <x v="2"/>
    <s v="05/06/2021"/>
    <n v="82164"/>
    <s v="Mumbai"/>
    <n v="10"/>
    <s v="Resigned"/>
  </r>
  <r>
    <s v="EMP154"/>
    <s v="Employee_154"/>
    <x v="1"/>
    <x v="3"/>
    <x v="1"/>
    <s v="04/02/2023"/>
    <n v="64284"/>
    <s v="Pune"/>
    <n v="5"/>
    <s v="Resigned"/>
  </r>
  <r>
    <s v="EMP155"/>
    <s v="Employee_155"/>
    <x v="2"/>
    <x v="0"/>
    <x v="2"/>
    <s v="24/12/2020"/>
    <n v="113584"/>
    <s v="Pune"/>
    <n v="10"/>
    <s v="Resigned"/>
  </r>
  <r>
    <s v="EMP156"/>
    <s v="Employee_156"/>
    <x v="3"/>
    <x v="1"/>
    <x v="2"/>
    <s v="06/09/2018"/>
    <n v="75201"/>
    <s v="Chennai"/>
    <n v="8"/>
    <s v="Resigned"/>
  </r>
  <r>
    <s v="EMP157"/>
    <s v="Employee_157"/>
    <x v="5"/>
    <x v="3"/>
    <x v="0"/>
    <s v="11/04/2023"/>
    <n v="67805"/>
    <s v="Chennai"/>
    <n v="2"/>
    <s v="Resigned"/>
  </r>
  <r>
    <s v="EMP158"/>
    <s v="Employee_158"/>
    <x v="0"/>
    <x v="1"/>
    <x v="1"/>
    <s v="01/05/2022"/>
    <n v="95558"/>
    <s v="Hyderabad"/>
    <n v="7"/>
    <s v="Resigned"/>
  </r>
  <r>
    <s v="EMP159"/>
    <s v="Employee_159"/>
    <x v="3"/>
    <x v="2"/>
    <x v="0"/>
    <s v="28/01/2023"/>
    <n v="85649"/>
    <s v="Delhi"/>
    <n v="4"/>
    <s v="On Leave"/>
  </r>
  <r>
    <s v="EMP160"/>
    <s v="Employee_160"/>
    <x v="0"/>
    <x v="3"/>
    <x v="2"/>
    <s v="10/01/2021"/>
    <n v="107691"/>
    <s v="Bangalore"/>
    <n v="4"/>
    <s v="Active"/>
  </r>
  <r>
    <s v="EMP161"/>
    <s v="Employee_161"/>
    <x v="4"/>
    <x v="1"/>
    <x v="2"/>
    <s v="05/03/2021"/>
    <n v="32007"/>
    <s v="Hyderabad"/>
    <n v="7"/>
    <s v="Resigned"/>
  </r>
  <r>
    <s v="EMP162"/>
    <s v="Employee_162"/>
    <x v="5"/>
    <x v="3"/>
    <x v="0"/>
    <s v="26/08/2015"/>
    <n v="86193"/>
    <s v="Chennai"/>
    <n v="8"/>
    <s v="On Leave"/>
  </r>
  <r>
    <s v="EMP163"/>
    <s v="Employee_163"/>
    <x v="1"/>
    <x v="4"/>
    <x v="1"/>
    <s v="24/12/2021"/>
    <n v="55938"/>
    <s v="Pune"/>
    <n v="7"/>
    <s v="Active"/>
  </r>
  <r>
    <s v="EMP164"/>
    <s v="Employee_164"/>
    <x v="1"/>
    <x v="1"/>
    <x v="2"/>
    <s v="16/01/2020"/>
    <n v="56157"/>
    <s v="Delhi"/>
    <n v="8"/>
    <s v="Resigned"/>
  </r>
  <r>
    <s v="EMP165"/>
    <s v="Employee_165"/>
    <x v="1"/>
    <x v="4"/>
    <x v="2"/>
    <s v="12/07/2021"/>
    <n v="56417"/>
    <s v="Bangalore"/>
    <n v="7"/>
    <s v="Resigned"/>
  </r>
  <r>
    <s v="EMP166"/>
    <s v="Employee_166"/>
    <x v="2"/>
    <x v="1"/>
    <x v="0"/>
    <s v="20/06/2020"/>
    <n v="56208"/>
    <s v="Hyderabad"/>
    <n v="0"/>
    <s v="On Leave"/>
  </r>
  <r>
    <s v="EMP167"/>
    <s v="Employee_167"/>
    <x v="2"/>
    <x v="2"/>
    <x v="1"/>
    <s v="17/09/2020"/>
    <n v="45255"/>
    <s v="Delhi"/>
    <n v="5"/>
    <s v="Active"/>
  </r>
  <r>
    <s v="EMP168"/>
    <s v="Employee_168"/>
    <x v="4"/>
    <x v="0"/>
    <x v="0"/>
    <s v="01/07/2019"/>
    <n v="92333"/>
    <s v="Kolkata"/>
    <n v="3"/>
    <s v="Resigned"/>
  </r>
  <r>
    <s v="EMP169"/>
    <s v="Employee_169"/>
    <x v="0"/>
    <x v="0"/>
    <x v="2"/>
    <s v="04/06/2017"/>
    <n v="106155"/>
    <s v="Delhi"/>
    <n v="2"/>
    <s v="Resigned"/>
  </r>
  <r>
    <s v="EMP170"/>
    <s v="Employee_170"/>
    <x v="3"/>
    <x v="2"/>
    <x v="0"/>
    <s v="11/01/2024"/>
    <n v="96831"/>
    <s v="Pune"/>
    <n v="1"/>
    <s v="On Leave"/>
  </r>
  <r>
    <s v="EMP171"/>
    <s v="Employee_171"/>
    <x v="5"/>
    <x v="0"/>
    <x v="0"/>
    <s v="24/06/2015"/>
    <n v="83964"/>
    <s v="Pune"/>
    <n v="4"/>
    <s v="On Leave"/>
  </r>
  <r>
    <s v="EMP172"/>
    <s v="Employee_172"/>
    <x v="1"/>
    <x v="0"/>
    <x v="1"/>
    <s v="14/02/2018"/>
    <n v="42093"/>
    <s v="Delhi"/>
    <n v="0"/>
    <s v="On Leave"/>
  </r>
  <r>
    <s v="EMP173"/>
    <s v="Employee_173"/>
    <x v="2"/>
    <x v="2"/>
    <x v="1"/>
    <s v="08/02/2020"/>
    <n v="75310"/>
    <s v="Hyderabad"/>
    <n v="8"/>
    <s v="On Leave"/>
  </r>
  <r>
    <s v="EMP174"/>
    <s v="Employee_174"/>
    <x v="3"/>
    <x v="2"/>
    <x v="0"/>
    <s v="10/07/2021"/>
    <n v="86084"/>
    <s v="Kolkata"/>
    <n v="1"/>
    <s v="Resigned"/>
  </r>
  <r>
    <s v="EMP175"/>
    <s v="Employee_175"/>
    <x v="4"/>
    <x v="0"/>
    <x v="0"/>
    <s v="01/09/2024"/>
    <n v="116194"/>
    <s v="Delhi"/>
    <n v="5"/>
    <s v="On Leave"/>
  </r>
  <r>
    <s v="EMP176"/>
    <s v="Employee_176"/>
    <x v="3"/>
    <x v="4"/>
    <x v="2"/>
    <s v="04/06/2017"/>
    <n v="76805"/>
    <s v="Kolkata"/>
    <n v="5"/>
    <s v="Active"/>
  </r>
  <r>
    <s v="EMP177"/>
    <s v="Employee_177"/>
    <x v="0"/>
    <x v="2"/>
    <x v="2"/>
    <s v="15/06/2016"/>
    <n v="117954"/>
    <s v="Hyderabad"/>
    <n v="8"/>
    <s v="Resigned"/>
  </r>
  <r>
    <s v="EMP178"/>
    <s v="Employee_178"/>
    <x v="4"/>
    <x v="4"/>
    <x v="2"/>
    <s v="10/01/2022"/>
    <n v="59813"/>
    <s v="Kolkata"/>
    <n v="8"/>
    <s v="Resigned"/>
  </r>
  <r>
    <s v="EMP179"/>
    <s v="Employee_179"/>
    <x v="2"/>
    <x v="0"/>
    <x v="1"/>
    <s v="06/01/2020"/>
    <n v="37267"/>
    <s v="Pune"/>
    <n v="10"/>
    <s v="Active"/>
  </r>
  <r>
    <s v="EMP180"/>
    <s v="Employee_180"/>
    <x v="0"/>
    <x v="0"/>
    <x v="1"/>
    <s v="03/01/2019"/>
    <n v="119275"/>
    <s v="Mumbai"/>
    <n v="2"/>
    <s v="Active"/>
  </r>
  <r>
    <s v="EMP181"/>
    <s v="Employee_181"/>
    <x v="0"/>
    <x v="1"/>
    <x v="1"/>
    <s v="05/02/2020"/>
    <n v="87260"/>
    <s v="Pune"/>
    <n v="7"/>
    <s v="Active"/>
  </r>
  <r>
    <s v="EMP182"/>
    <s v="Employee_182"/>
    <x v="5"/>
    <x v="4"/>
    <x v="1"/>
    <s v="05/09/2024"/>
    <n v="44548"/>
    <s v="Hyderabad"/>
    <n v="7"/>
    <s v="Active"/>
  </r>
  <r>
    <s v="EMP183"/>
    <s v="Employee_183"/>
    <x v="5"/>
    <x v="0"/>
    <x v="1"/>
    <s v="31/12/2023"/>
    <n v="78074"/>
    <s v="Pune"/>
    <n v="6"/>
    <s v="Active"/>
  </r>
  <r>
    <s v="EMP184"/>
    <s v="Employee_184"/>
    <x v="1"/>
    <x v="3"/>
    <x v="0"/>
    <s v="02/07/2020"/>
    <n v="82870"/>
    <s v="Kolkata"/>
    <n v="10"/>
    <s v="On Leave"/>
  </r>
  <r>
    <s v="EMP185"/>
    <s v="Employee_185"/>
    <x v="4"/>
    <x v="4"/>
    <x v="0"/>
    <s v="18/07/2018"/>
    <n v="114909"/>
    <s v="Pune"/>
    <n v="5"/>
    <s v="Active"/>
  </r>
  <r>
    <s v="EMP186"/>
    <s v="Employee_186"/>
    <x v="5"/>
    <x v="3"/>
    <x v="0"/>
    <s v="27/06/2020"/>
    <n v="99144"/>
    <s v="Hyderabad"/>
    <n v="9"/>
    <s v="Resigned"/>
  </r>
  <r>
    <s v="EMP187"/>
    <s v="Employee_187"/>
    <x v="1"/>
    <x v="1"/>
    <x v="2"/>
    <s v="18/10/2023"/>
    <n v="54626"/>
    <s v="Delhi"/>
    <n v="9"/>
    <s v="Active"/>
  </r>
  <r>
    <s v="EMP188"/>
    <s v="Employee_188"/>
    <x v="1"/>
    <x v="1"/>
    <x v="2"/>
    <s v="14/02/2021"/>
    <n v="30286"/>
    <s v="Delhi"/>
    <n v="3"/>
    <s v="Active"/>
  </r>
  <r>
    <s v="EMP189"/>
    <s v="Employee_189"/>
    <x v="2"/>
    <x v="0"/>
    <x v="0"/>
    <s v="31/08/2022"/>
    <n v="49534"/>
    <s v="Mumbai"/>
    <n v="6"/>
    <s v="On Leave"/>
  </r>
  <r>
    <s v="EMP190"/>
    <s v="Employee_190"/>
    <x v="0"/>
    <x v="2"/>
    <x v="1"/>
    <s v="02/02/2023"/>
    <n v="62375"/>
    <s v="Hyderabad"/>
    <n v="2"/>
    <s v="Active"/>
  </r>
  <r>
    <s v="EMP191"/>
    <s v="Employee_191"/>
    <x v="5"/>
    <x v="0"/>
    <x v="1"/>
    <s v="22/05/2016"/>
    <n v="92750"/>
    <s v="Mumbai"/>
    <n v="6"/>
    <s v="Active"/>
  </r>
  <r>
    <s v="EMP192"/>
    <s v="Employee_192"/>
    <x v="1"/>
    <x v="3"/>
    <x v="2"/>
    <s v="22/09/2017"/>
    <n v="50865"/>
    <s v="Pune"/>
    <n v="1"/>
    <s v="On Leave"/>
  </r>
  <r>
    <s v="EMP193"/>
    <s v="Employee_193"/>
    <x v="2"/>
    <x v="1"/>
    <x v="0"/>
    <s v="04/04/2017"/>
    <n v="116415"/>
    <s v="Pune"/>
    <n v="3"/>
    <s v="On Leave"/>
  </r>
  <r>
    <s v="EMP194"/>
    <s v="Employee_194"/>
    <x v="5"/>
    <x v="4"/>
    <x v="0"/>
    <s v="23/05/2021"/>
    <n v="55775"/>
    <s v="Bangalore"/>
    <n v="0"/>
    <s v="Active"/>
  </r>
  <r>
    <s v="EMP195"/>
    <s v="Employee_195"/>
    <x v="0"/>
    <x v="1"/>
    <x v="1"/>
    <s v="16/11/2018"/>
    <n v="91544"/>
    <s v="Pune"/>
    <n v="9"/>
    <s v="On Leave"/>
  </r>
  <r>
    <s v="EMP196"/>
    <s v="Employee_196"/>
    <x v="3"/>
    <x v="4"/>
    <x v="1"/>
    <s v="21/03/2018"/>
    <n v="60806"/>
    <s v="Mumbai"/>
    <n v="8"/>
    <s v="Active"/>
  </r>
  <r>
    <s v="EMP197"/>
    <s v="Employee_197"/>
    <x v="4"/>
    <x v="2"/>
    <x v="2"/>
    <s v="24/03/2020"/>
    <n v="72490"/>
    <s v="Chennai"/>
    <n v="3"/>
    <s v="On Leave"/>
  </r>
  <r>
    <s v="EMP198"/>
    <s v="Employee_198"/>
    <x v="4"/>
    <x v="3"/>
    <x v="2"/>
    <s v="30/09/2020"/>
    <n v="42440"/>
    <s v="Bangalore"/>
    <n v="6"/>
    <s v="Resigned"/>
  </r>
  <r>
    <s v="EMP199"/>
    <s v="Employee_199"/>
    <x v="1"/>
    <x v="0"/>
    <x v="2"/>
    <s v="24/08/2017"/>
    <n v="49868"/>
    <s v="Hyderabad"/>
    <n v="10"/>
    <s v="On Leave"/>
  </r>
  <r>
    <s v="EMP200"/>
    <s v="Employee_200"/>
    <x v="5"/>
    <x v="3"/>
    <x v="2"/>
    <s v="01/09/2020"/>
    <n v="36107"/>
    <s v="Chennai"/>
    <n v="8"/>
    <s v="Active"/>
  </r>
  <r>
    <s v="EMP201"/>
    <s v="Employee_201"/>
    <x v="3"/>
    <x v="4"/>
    <x v="0"/>
    <s v="30/01/2019"/>
    <n v="107869"/>
    <s v="Pune"/>
    <n v="3"/>
    <s v="On Leave"/>
  </r>
  <r>
    <s v="EMP202"/>
    <s v="Employee_202"/>
    <x v="2"/>
    <x v="1"/>
    <x v="2"/>
    <s v="28/04/2025"/>
    <n v="42061"/>
    <s v="Pune"/>
    <n v="8"/>
    <s v="Resigned"/>
  </r>
  <r>
    <s v="EMP203"/>
    <s v="Employee_203"/>
    <x v="0"/>
    <x v="2"/>
    <x v="0"/>
    <s v="26/03/2015"/>
    <n v="93917"/>
    <s v="Mumbai"/>
    <n v="7"/>
    <s v="Active"/>
  </r>
  <r>
    <s v="EMP204"/>
    <s v="Employee_204"/>
    <x v="2"/>
    <x v="0"/>
    <x v="1"/>
    <s v="19/05/2023"/>
    <n v="43377"/>
    <s v="Chennai"/>
    <n v="5"/>
    <s v="Resigned"/>
  </r>
  <r>
    <s v="EMP205"/>
    <s v="Employee_205"/>
    <x v="4"/>
    <x v="3"/>
    <x v="1"/>
    <s v="07/09/2018"/>
    <n v="98739"/>
    <s v="Bangalore"/>
    <n v="7"/>
    <s v="Resigned"/>
  </r>
  <r>
    <s v="EMP206"/>
    <s v="Employee_206"/>
    <x v="5"/>
    <x v="1"/>
    <x v="0"/>
    <s v="27/08/2016"/>
    <n v="72510"/>
    <s v="Bangalore"/>
    <n v="0"/>
    <s v="On Leave"/>
  </r>
  <r>
    <s v="EMP207"/>
    <s v="Employee_207"/>
    <x v="1"/>
    <x v="0"/>
    <x v="0"/>
    <s v="15/07/2015"/>
    <n v="33956"/>
    <s v="Delhi"/>
    <n v="1"/>
    <s v="On Leave"/>
  </r>
  <r>
    <s v="EMP208"/>
    <s v="Employee_208"/>
    <x v="3"/>
    <x v="3"/>
    <x v="1"/>
    <s v="08/09/2016"/>
    <n v="101128"/>
    <s v="Mumbai"/>
    <n v="1"/>
    <s v="On Leave"/>
  </r>
  <r>
    <s v="EMP209"/>
    <s v="Employee_209"/>
    <x v="0"/>
    <x v="0"/>
    <x v="2"/>
    <s v="11/12/2019"/>
    <n v="36373"/>
    <s v="Delhi"/>
    <n v="4"/>
    <s v="On Leave"/>
  </r>
  <r>
    <s v="EMP210"/>
    <s v="Employee_210"/>
    <x v="0"/>
    <x v="2"/>
    <x v="0"/>
    <s v="20/07/2023"/>
    <n v="107511"/>
    <s v="Pune"/>
    <n v="7"/>
    <s v="Resigned"/>
  </r>
  <r>
    <s v="EMP211"/>
    <s v="Employee_211"/>
    <x v="3"/>
    <x v="1"/>
    <x v="1"/>
    <s v="06/04/2021"/>
    <n v="104414"/>
    <s v="Delhi"/>
    <n v="2"/>
    <s v="Active"/>
  </r>
  <r>
    <s v="EMP212"/>
    <s v="Employee_212"/>
    <x v="5"/>
    <x v="3"/>
    <x v="0"/>
    <s v="09/06/2023"/>
    <n v="99544"/>
    <s v="Kolkata"/>
    <n v="1"/>
    <s v="Resigned"/>
  </r>
  <r>
    <s v="EMP213"/>
    <s v="Employee_213"/>
    <x v="1"/>
    <x v="2"/>
    <x v="2"/>
    <s v="24/07/2021"/>
    <n v="51545"/>
    <s v="Mumbai"/>
    <n v="4"/>
    <s v="On Leave"/>
  </r>
  <r>
    <s v="EMP214"/>
    <s v="Employee_214"/>
    <x v="2"/>
    <x v="3"/>
    <x v="2"/>
    <s v="24/08/2020"/>
    <n v="68423"/>
    <s v="Mumbai"/>
    <n v="4"/>
    <s v="On Leave"/>
  </r>
  <r>
    <s v="EMP215"/>
    <s v="Employee_215"/>
    <x v="0"/>
    <x v="0"/>
    <x v="2"/>
    <s v="04/02/2024"/>
    <n v="110261"/>
    <s v="Mumbai"/>
    <n v="3"/>
    <s v="Resigned"/>
  </r>
  <r>
    <s v="EMP216"/>
    <s v="Employee_216"/>
    <x v="5"/>
    <x v="1"/>
    <x v="0"/>
    <s v="24/07/2024"/>
    <n v="63623"/>
    <s v="Pune"/>
    <n v="5"/>
    <s v="Resigned"/>
  </r>
  <r>
    <s v="EMP217"/>
    <s v="Employee_217"/>
    <x v="4"/>
    <x v="3"/>
    <x v="1"/>
    <s v="07/12/2024"/>
    <n v="85949"/>
    <s v="Pune"/>
    <n v="1"/>
    <s v="On Leave"/>
  </r>
  <r>
    <s v="EMP218"/>
    <s v="Employee_218"/>
    <x v="4"/>
    <x v="4"/>
    <x v="1"/>
    <s v="22/09/2021"/>
    <n v="40652"/>
    <s v="Chennai"/>
    <n v="2"/>
    <s v="On Leave"/>
  </r>
  <r>
    <s v="EMP219"/>
    <s v="Employee_219"/>
    <x v="2"/>
    <x v="4"/>
    <x v="1"/>
    <s v="16/06/2016"/>
    <n v="56803"/>
    <s v="Hyderabad"/>
    <n v="3"/>
    <s v="Active"/>
  </r>
  <r>
    <s v="EMP220"/>
    <s v="Employee_220"/>
    <x v="1"/>
    <x v="3"/>
    <x v="2"/>
    <s v="25/10/2020"/>
    <n v="63234"/>
    <s v="Chennai"/>
    <n v="10"/>
    <s v="Resigned"/>
  </r>
  <r>
    <s v="EMP221"/>
    <s v="Employee_221"/>
    <x v="1"/>
    <x v="1"/>
    <x v="2"/>
    <s v="20/03/2022"/>
    <n v="86013"/>
    <s v="Kolkata"/>
    <n v="10"/>
    <s v="Active"/>
  </r>
  <r>
    <s v="EMP222"/>
    <s v="Employee_222"/>
    <x v="0"/>
    <x v="2"/>
    <x v="1"/>
    <s v="24/04/2022"/>
    <n v="87799"/>
    <s v="Chennai"/>
    <n v="2"/>
    <s v="Resigned"/>
  </r>
  <r>
    <s v="EMP223"/>
    <s v="Employee_223"/>
    <x v="3"/>
    <x v="0"/>
    <x v="1"/>
    <s v="01/03/2023"/>
    <n v="30812"/>
    <s v="Pune"/>
    <n v="7"/>
    <s v="On Leave"/>
  </r>
  <r>
    <s v="EMP224"/>
    <s v="Employee_224"/>
    <x v="5"/>
    <x v="4"/>
    <x v="2"/>
    <s v="23/07/2023"/>
    <n v="91306"/>
    <s v="Kolkata"/>
    <n v="9"/>
    <s v="On Leave"/>
  </r>
  <r>
    <s v="EMP225"/>
    <s v="Employee_225"/>
    <x v="2"/>
    <x v="4"/>
    <x v="1"/>
    <s v="28/02/2016"/>
    <n v="73212"/>
    <s v="Mumbai"/>
    <n v="5"/>
    <s v="Resigned"/>
  </r>
  <r>
    <s v="EMP226"/>
    <s v="Employee_226"/>
    <x v="3"/>
    <x v="1"/>
    <x v="1"/>
    <s v="28/09/2021"/>
    <n v="38755"/>
    <s v="Delhi"/>
    <n v="8"/>
    <s v="On Leave"/>
  </r>
  <r>
    <s v="EMP227"/>
    <s v="Employee_227"/>
    <x v="4"/>
    <x v="0"/>
    <x v="1"/>
    <s v="21/09/2015"/>
    <n v="56879"/>
    <s v="Hyderabad"/>
    <n v="1"/>
    <s v="Active"/>
  </r>
  <r>
    <s v="EMP228"/>
    <s v="Employee_228"/>
    <x v="5"/>
    <x v="3"/>
    <x v="1"/>
    <s v="03/07/2023"/>
    <n v="50597"/>
    <s v="Bangalore"/>
    <n v="3"/>
    <s v="Active"/>
  </r>
  <r>
    <s v="EMP229"/>
    <s v="Employee_229"/>
    <x v="0"/>
    <x v="3"/>
    <x v="0"/>
    <s v="11/10/2024"/>
    <n v="101436"/>
    <s v="Hyderabad"/>
    <n v="3"/>
    <s v="Resigned"/>
  </r>
  <r>
    <s v="EMP230"/>
    <s v="Employee_230"/>
    <x v="4"/>
    <x v="4"/>
    <x v="1"/>
    <s v="29/04/2015"/>
    <n v="47467"/>
    <s v="Chennai"/>
    <n v="10"/>
    <s v="On Leave"/>
  </r>
  <r>
    <s v="EMP231"/>
    <s v="Employee_231"/>
    <x v="5"/>
    <x v="3"/>
    <x v="0"/>
    <s v="24/11/2018"/>
    <n v="44288"/>
    <s v="Chennai"/>
    <n v="5"/>
    <s v="On Leave"/>
  </r>
  <r>
    <s v="EMP232"/>
    <s v="Employee_232"/>
    <x v="1"/>
    <x v="3"/>
    <x v="2"/>
    <s v="20/03/2020"/>
    <n v="41936"/>
    <s v="Hyderabad"/>
    <n v="1"/>
    <s v="Active"/>
  </r>
  <r>
    <s v="EMP233"/>
    <s v="Employee_233"/>
    <x v="2"/>
    <x v="0"/>
    <x v="2"/>
    <s v="08/08/2023"/>
    <n v="46334"/>
    <s v="Hyderabad"/>
    <n v="9"/>
    <s v="Active"/>
  </r>
  <r>
    <s v="EMP234"/>
    <s v="Employee_234"/>
    <x v="4"/>
    <x v="1"/>
    <x v="2"/>
    <s v="23/04/2017"/>
    <n v="50552"/>
    <s v="Delhi"/>
    <n v="5"/>
    <s v="Active"/>
  </r>
  <r>
    <s v="EMP235"/>
    <s v="Employee_235"/>
    <x v="1"/>
    <x v="0"/>
    <x v="2"/>
    <s v="12/10/2018"/>
    <n v="98841"/>
    <s v="Hyderabad"/>
    <n v="2"/>
    <s v="On Leave"/>
  </r>
  <r>
    <s v="EMP236"/>
    <s v="Employee_236"/>
    <x v="1"/>
    <x v="3"/>
    <x v="1"/>
    <s v="05/05/2016"/>
    <n v="91804"/>
    <s v="Chennai"/>
    <n v="10"/>
    <s v="Resigned"/>
  </r>
  <r>
    <s v="EMP237"/>
    <s v="Employee_237"/>
    <x v="2"/>
    <x v="2"/>
    <x v="1"/>
    <s v="27/09/2023"/>
    <n v="109122"/>
    <s v="Kolkata"/>
    <n v="1"/>
    <s v="Resigned"/>
  </r>
  <r>
    <s v="EMP238"/>
    <s v="Employee_238"/>
    <x v="4"/>
    <x v="4"/>
    <x v="1"/>
    <s v="22/01/2018"/>
    <n v="61880"/>
    <s v="Hyderabad"/>
    <n v="2"/>
    <s v="Resigned"/>
  </r>
  <r>
    <s v="EMP239"/>
    <s v="Employee_239"/>
    <x v="2"/>
    <x v="2"/>
    <x v="0"/>
    <s v="25/01/2020"/>
    <n v="90146"/>
    <s v="Delhi"/>
    <n v="5"/>
    <s v="Resigned"/>
  </r>
  <r>
    <s v="EMP240"/>
    <s v="Employee_240"/>
    <x v="1"/>
    <x v="0"/>
    <x v="1"/>
    <s v="07/07/2021"/>
    <n v="117926"/>
    <s v="Kolkata"/>
    <n v="10"/>
    <s v="Resigned"/>
  </r>
  <r>
    <s v="EMP241"/>
    <s v="Employee_241"/>
    <x v="3"/>
    <x v="1"/>
    <x v="0"/>
    <s v="08/06/2015"/>
    <n v="50354"/>
    <s v="Bangalore"/>
    <n v="2"/>
    <s v="Resigned"/>
  </r>
  <r>
    <s v="EMP242"/>
    <s v="Employee_242"/>
    <x v="0"/>
    <x v="1"/>
    <x v="0"/>
    <s v="06/03/2021"/>
    <n v="101192"/>
    <s v="Bangalore"/>
    <n v="7"/>
    <s v="Resigned"/>
  </r>
  <r>
    <s v="EMP243"/>
    <s v="Employee_243"/>
    <x v="4"/>
    <x v="3"/>
    <x v="1"/>
    <s v="01/10/2023"/>
    <n v="59506"/>
    <s v="Pune"/>
    <n v="9"/>
    <s v="Active"/>
  </r>
  <r>
    <s v="EMP244"/>
    <s v="Employee_244"/>
    <x v="5"/>
    <x v="1"/>
    <x v="1"/>
    <s v="27/05/2020"/>
    <n v="56067"/>
    <s v="Bangalore"/>
    <n v="4"/>
    <s v="On Leave"/>
  </r>
  <r>
    <s v="EMP245"/>
    <s v="Employee_245"/>
    <x v="2"/>
    <x v="3"/>
    <x v="1"/>
    <s v="19/06/2019"/>
    <n v="66861"/>
    <s v="Kolkata"/>
    <n v="1"/>
    <s v="Resigned"/>
  </r>
  <r>
    <s v="EMP246"/>
    <s v="Employee_246"/>
    <x v="3"/>
    <x v="4"/>
    <x v="2"/>
    <s v="28/03/2019"/>
    <n v="91105"/>
    <s v="Delhi"/>
    <n v="9"/>
    <s v="On Leave"/>
  </r>
  <r>
    <s v="EMP247"/>
    <s v="Employee_247"/>
    <x v="4"/>
    <x v="1"/>
    <x v="1"/>
    <s v="28/04/2021"/>
    <n v="99911"/>
    <s v="Hyderabad"/>
    <n v="4"/>
    <s v="On Leave"/>
  </r>
  <r>
    <s v="EMP248"/>
    <s v="Employee_248"/>
    <x v="2"/>
    <x v="1"/>
    <x v="1"/>
    <s v="16/03/2023"/>
    <n v="65587"/>
    <s v="Kolkata"/>
    <n v="9"/>
    <s v="Active"/>
  </r>
  <r>
    <s v="EMP249"/>
    <s v="Employee_249"/>
    <x v="2"/>
    <x v="0"/>
    <x v="2"/>
    <s v="03/12/2018"/>
    <n v="38092"/>
    <s v="Kolkata"/>
    <n v="5"/>
    <s v="Resigned"/>
  </r>
  <r>
    <s v="EMP250"/>
    <s v="Employee_250"/>
    <x v="3"/>
    <x v="4"/>
    <x v="1"/>
    <s v="29/06/2016"/>
    <n v="57798"/>
    <s v="Bangalore"/>
    <n v="6"/>
    <s v="On Leave"/>
  </r>
  <r>
    <s v="EMP251"/>
    <s v="Employee_251"/>
    <x v="1"/>
    <x v="4"/>
    <x v="1"/>
    <s v="08/07/2023"/>
    <n v="45732"/>
    <s v="Hyderabad"/>
    <n v="8"/>
    <s v="Active"/>
  </r>
  <r>
    <s v="EMP252"/>
    <s v="Employee_252"/>
    <x v="4"/>
    <x v="0"/>
    <x v="2"/>
    <s v="16/08/2019"/>
    <n v="59338"/>
    <s v="Pune"/>
    <n v="7"/>
    <s v="On Leave"/>
  </r>
  <r>
    <s v="EMP253"/>
    <s v="Employee_253"/>
    <x v="3"/>
    <x v="2"/>
    <x v="2"/>
    <s v="14/04/2021"/>
    <n v="67281"/>
    <s v="Delhi"/>
    <n v="6"/>
    <s v="Resigned"/>
  </r>
  <r>
    <s v="EMP254"/>
    <s v="Employee_254"/>
    <x v="1"/>
    <x v="4"/>
    <x v="1"/>
    <s v="30/03/2025"/>
    <n v="65983"/>
    <s v="Hyderabad"/>
    <n v="6"/>
    <s v="Active"/>
  </r>
  <r>
    <s v="EMP255"/>
    <s v="Employee_255"/>
    <x v="2"/>
    <x v="2"/>
    <x v="1"/>
    <s v="06/08/2020"/>
    <n v="109054"/>
    <s v="Pune"/>
    <n v="7"/>
    <s v="Resigned"/>
  </r>
  <r>
    <s v="EMP256"/>
    <s v="Employee_256"/>
    <x v="3"/>
    <x v="3"/>
    <x v="2"/>
    <s v="31/08/2022"/>
    <n v="30804"/>
    <s v="Kolkata"/>
    <n v="5"/>
    <s v="Resigned"/>
  </r>
  <r>
    <s v="EMP257"/>
    <s v="Employee_257"/>
    <x v="0"/>
    <x v="1"/>
    <x v="1"/>
    <s v="25/03/2019"/>
    <n v="63551"/>
    <s v="Hyderabad"/>
    <n v="6"/>
    <s v="Resigned"/>
  </r>
  <r>
    <s v="EMP258"/>
    <s v="Employee_258"/>
    <x v="1"/>
    <x v="3"/>
    <x v="1"/>
    <s v="22/05/2019"/>
    <n v="61991"/>
    <s v="Pune"/>
    <n v="2"/>
    <s v="On Leave"/>
  </r>
  <r>
    <s v="EMP259"/>
    <s v="Employee_259"/>
    <x v="5"/>
    <x v="1"/>
    <x v="1"/>
    <s v="28/06/2024"/>
    <n v="41716"/>
    <s v="Kolkata"/>
    <n v="9"/>
    <s v="Active"/>
  </r>
  <r>
    <s v="EMP260"/>
    <s v="Employee_260"/>
    <x v="1"/>
    <x v="3"/>
    <x v="1"/>
    <s v="05/05/2016"/>
    <n v="73071"/>
    <s v="Hyderabad"/>
    <n v="0"/>
    <s v="Active"/>
  </r>
  <r>
    <s v="EMP261"/>
    <s v="Employee_261"/>
    <x v="1"/>
    <x v="2"/>
    <x v="2"/>
    <s v="17/01/2021"/>
    <n v="38664"/>
    <s v="Chennai"/>
    <n v="2"/>
    <s v="Active"/>
  </r>
  <r>
    <s v="EMP262"/>
    <s v="Employee_262"/>
    <x v="1"/>
    <x v="1"/>
    <x v="0"/>
    <s v="20/10/2023"/>
    <n v="99999"/>
    <s v="Bangalore"/>
    <n v="6"/>
    <s v="Resigned"/>
  </r>
  <r>
    <s v="EMP263"/>
    <s v="Employee_263"/>
    <x v="1"/>
    <x v="4"/>
    <x v="0"/>
    <s v="21/03/2019"/>
    <n v="59667"/>
    <s v="Kolkata"/>
    <n v="7"/>
    <s v="Resigned"/>
  </r>
  <r>
    <s v="EMP264"/>
    <s v="Employee_264"/>
    <x v="1"/>
    <x v="4"/>
    <x v="0"/>
    <s v="20/03/2020"/>
    <n v="99752"/>
    <s v="Chennai"/>
    <n v="1"/>
    <s v="Resigned"/>
  </r>
  <r>
    <s v="EMP265"/>
    <s v="Employee_265"/>
    <x v="0"/>
    <x v="2"/>
    <x v="2"/>
    <s v="05/10/2023"/>
    <n v="116376"/>
    <s v="Mumbai"/>
    <n v="7"/>
    <s v="Resigned"/>
  </r>
  <r>
    <s v="EMP266"/>
    <s v="Employee_266"/>
    <x v="1"/>
    <x v="3"/>
    <x v="2"/>
    <s v="25/05/2016"/>
    <n v="111378"/>
    <s v="Chennai"/>
    <n v="0"/>
    <s v="On Leave"/>
  </r>
  <r>
    <s v="EMP267"/>
    <s v="Employee_267"/>
    <x v="5"/>
    <x v="0"/>
    <x v="1"/>
    <s v="13/05/2025"/>
    <n v="96769"/>
    <s v="Kolkata"/>
    <n v="10"/>
    <s v="Resigned"/>
  </r>
  <r>
    <s v="EMP268"/>
    <s v="Employee_268"/>
    <x v="3"/>
    <x v="2"/>
    <x v="2"/>
    <s v="05/04/2017"/>
    <n v="40556"/>
    <s v="Chennai"/>
    <n v="10"/>
    <s v="Resigned"/>
  </r>
  <r>
    <s v="EMP269"/>
    <s v="Employee_269"/>
    <x v="2"/>
    <x v="4"/>
    <x v="1"/>
    <s v="05/04/2020"/>
    <n v="92949"/>
    <s v="Pune"/>
    <n v="4"/>
    <s v="Resigned"/>
  </r>
  <r>
    <s v="EMP270"/>
    <s v="Employee_270"/>
    <x v="5"/>
    <x v="2"/>
    <x v="2"/>
    <s v="17/11/2019"/>
    <n v="54557"/>
    <s v="Kolkata"/>
    <n v="7"/>
    <s v="Active"/>
  </r>
  <r>
    <s v="EMP271"/>
    <s v="Employee_271"/>
    <x v="5"/>
    <x v="0"/>
    <x v="1"/>
    <s v="19/10/2023"/>
    <n v="76164"/>
    <s v="Delhi"/>
    <n v="1"/>
    <s v="Resigned"/>
  </r>
  <r>
    <s v="EMP272"/>
    <s v="Employee_272"/>
    <x v="1"/>
    <x v="3"/>
    <x v="2"/>
    <s v="15/01/2022"/>
    <n v="48953"/>
    <s v="Hyderabad"/>
    <n v="8"/>
    <s v="Resigned"/>
  </r>
  <r>
    <s v="EMP273"/>
    <s v="Employee_273"/>
    <x v="3"/>
    <x v="0"/>
    <x v="0"/>
    <s v="24/03/2024"/>
    <n v="118535"/>
    <s v="Kolkata"/>
    <n v="0"/>
    <s v="On Leave"/>
  </r>
  <r>
    <s v="EMP274"/>
    <s v="Employee_274"/>
    <x v="2"/>
    <x v="4"/>
    <x v="0"/>
    <s v="29/10/2020"/>
    <n v="95520"/>
    <s v="Hyderabad"/>
    <n v="6"/>
    <s v="On Leave"/>
  </r>
  <r>
    <s v="EMP275"/>
    <s v="Employee_275"/>
    <x v="3"/>
    <x v="2"/>
    <x v="1"/>
    <s v="26/01/2021"/>
    <n v="109745"/>
    <s v="Pune"/>
    <n v="9"/>
    <s v="Active"/>
  </r>
  <r>
    <s v="EMP276"/>
    <s v="Employee_276"/>
    <x v="5"/>
    <x v="2"/>
    <x v="0"/>
    <s v="28/07/2016"/>
    <n v="107838"/>
    <s v="Delhi"/>
    <n v="3"/>
    <s v="Resigned"/>
  </r>
  <r>
    <s v="EMP277"/>
    <s v="Employee_277"/>
    <x v="1"/>
    <x v="4"/>
    <x v="1"/>
    <s v="10/10/2017"/>
    <n v="96159"/>
    <s v="Bangalore"/>
    <n v="5"/>
    <s v="On Leave"/>
  </r>
  <r>
    <s v="EMP278"/>
    <s v="Employee_278"/>
    <x v="1"/>
    <x v="4"/>
    <x v="2"/>
    <s v="21/03/2025"/>
    <n v="100516"/>
    <s v="Pune"/>
    <n v="0"/>
    <s v="On Leave"/>
  </r>
  <r>
    <s v="EMP279"/>
    <s v="Employee_279"/>
    <x v="5"/>
    <x v="3"/>
    <x v="2"/>
    <s v="20/06/2023"/>
    <n v="99729"/>
    <s v="Bangalore"/>
    <n v="0"/>
    <s v="On Leave"/>
  </r>
  <r>
    <s v="EMP280"/>
    <s v="Employee_280"/>
    <x v="2"/>
    <x v="1"/>
    <x v="2"/>
    <s v="04/12/2025"/>
    <n v="70153"/>
    <s v="Kolkata"/>
    <n v="3"/>
    <s v="Resigned"/>
  </r>
  <r>
    <s v="EMP281"/>
    <s v="Employee_281"/>
    <x v="2"/>
    <x v="3"/>
    <x v="1"/>
    <s v="04/08/2017"/>
    <n v="77085"/>
    <s v="Kolkata"/>
    <n v="10"/>
    <s v="Resigned"/>
  </r>
  <r>
    <s v="EMP282"/>
    <s v="Employee_282"/>
    <x v="0"/>
    <x v="1"/>
    <x v="1"/>
    <s v="15/04/2017"/>
    <n v="109065"/>
    <s v="Chennai"/>
    <n v="10"/>
    <s v="Resigned"/>
  </r>
  <r>
    <s v="EMP283"/>
    <s v="Employee_283"/>
    <x v="1"/>
    <x v="4"/>
    <x v="0"/>
    <s v="14/06/2017"/>
    <n v="102754"/>
    <s v="Chennai"/>
    <n v="1"/>
    <s v="Resigned"/>
  </r>
  <r>
    <s v="EMP284"/>
    <s v="Employee_284"/>
    <x v="4"/>
    <x v="3"/>
    <x v="1"/>
    <s v="12/09/2019"/>
    <n v="42342"/>
    <s v="Chennai"/>
    <n v="1"/>
    <s v="On Leave"/>
  </r>
  <r>
    <s v="EMP285"/>
    <s v="Employee_285"/>
    <x v="2"/>
    <x v="2"/>
    <x v="1"/>
    <s v="23/09/2022"/>
    <n v="53804"/>
    <s v="Bangalore"/>
    <n v="1"/>
    <s v="Resigned"/>
  </r>
  <r>
    <s v="EMP286"/>
    <s v="Employee_286"/>
    <x v="4"/>
    <x v="3"/>
    <x v="2"/>
    <s v="16/01/2024"/>
    <n v="93471"/>
    <s v="Mumbai"/>
    <n v="5"/>
    <s v="Active"/>
  </r>
  <r>
    <s v="EMP287"/>
    <s v="Employee_287"/>
    <x v="2"/>
    <x v="2"/>
    <x v="0"/>
    <s v="03/06/2023"/>
    <n v="58438"/>
    <s v="Hyderabad"/>
    <n v="6"/>
    <s v="Active"/>
  </r>
  <r>
    <s v="EMP288"/>
    <s v="Employee_288"/>
    <x v="4"/>
    <x v="4"/>
    <x v="2"/>
    <s v="15/01/2020"/>
    <n v="93907"/>
    <s v="Delhi"/>
    <n v="10"/>
    <s v="On Leave"/>
  </r>
  <r>
    <s v="EMP289"/>
    <s v="Employee_289"/>
    <x v="0"/>
    <x v="0"/>
    <x v="0"/>
    <s v="10/11/2020"/>
    <n v="68563"/>
    <s v="Bangalore"/>
    <n v="8"/>
    <s v="Resigned"/>
  </r>
  <r>
    <s v="EMP290"/>
    <s v="Employee_290"/>
    <x v="2"/>
    <x v="2"/>
    <x v="2"/>
    <s v="16/02/2018"/>
    <n v="112545"/>
    <s v="Delhi"/>
    <n v="6"/>
    <s v="On Leave"/>
  </r>
  <r>
    <s v="EMP291"/>
    <s v="Employee_291"/>
    <x v="5"/>
    <x v="4"/>
    <x v="1"/>
    <s v="12/11/2023"/>
    <n v="51592"/>
    <s v="Hyderabad"/>
    <n v="0"/>
    <s v="Active"/>
  </r>
  <r>
    <s v="EMP292"/>
    <s v="Employee_292"/>
    <x v="2"/>
    <x v="2"/>
    <x v="1"/>
    <s v="19/08/2024"/>
    <n v="46261"/>
    <s v="Pune"/>
    <n v="9"/>
    <s v="Resigned"/>
  </r>
  <r>
    <s v="EMP293"/>
    <s v="Employee_293"/>
    <x v="1"/>
    <x v="4"/>
    <x v="1"/>
    <s v="18/06/2020"/>
    <n v="80061"/>
    <s v="Mumbai"/>
    <n v="4"/>
    <s v="Resigned"/>
  </r>
  <r>
    <s v="EMP294"/>
    <s v="Employee_294"/>
    <x v="2"/>
    <x v="0"/>
    <x v="2"/>
    <s v="25/04/2020"/>
    <n v="47603"/>
    <s v="Mumbai"/>
    <n v="10"/>
    <s v="Resigned"/>
  </r>
  <r>
    <s v="EMP295"/>
    <s v="Employee_295"/>
    <x v="5"/>
    <x v="2"/>
    <x v="0"/>
    <s v="11/11/2021"/>
    <n v="70744"/>
    <s v="Mumbai"/>
    <n v="5"/>
    <s v="Active"/>
  </r>
  <r>
    <s v="EMP296"/>
    <s v="Employee_296"/>
    <x v="2"/>
    <x v="2"/>
    <x v="0"/>
    <s v="11/08/2017"/>
    <n v="50349"/>
    <s v="Pune"/>
    <n v="3"/>
    <s v="On Leave"/>
  </r>
  <r>
    <s v="EMP297"/>
    <s v="Employee_297"/>
    <x v="3"/>
    <x v="0"/>
    <x v="0"/>
    <s v="01/09/2025"/>
    <n v="76360"/>
    <s v="Hyderabad"/>
    <n v="5"/>
    <s v="Resigned"/>
  </r>
  <r>
    <s v="EMP298"/>
    <s v="Employee_298"/>
    <x v="4"/>
    <x v="0"/>
    <x v="2"/>
    <s v="31/01/2016"/>
    <n v="61520"/>
    <s v="Kolkata"/>
    <n v="8"/>
    <s v="Resigned"/>
  </r>
  <r>
    <s v="EMP299"/>
    <s v="Employee_299"/>
    <x v="3"/>
    <x v="4"/>
    <x v="2"/>
    <s v="12/08/2023"/>
    <n v="104114"/>
    <s v="Mumbai"/>
    <n v="7"/>
    <s v="Resigned"/>
  </r>
  <r>
    <s v="EMP300"/>
    <s v="Employee_300"/>
    <x v="4"/>
    <x v="3"/>
    <x v="2"/>
    <s v="11/10/2015"/>
    <n v="39854"/>
    <s v="Bangalore"/>
    <n v="9"/>
    <s v="On Leave"/>
  </r>
  <r>
    <s v="EMP301"/>
    <s v="Employee_301"/>
    <x v="1"/>
    <x v="1"/>
    <x v="2"/>
    <s v="14/06/2017"/>
    <n v="32356"/>
    <s v="Pune"/>
    <n v="7"/>
    <s v="Active"/>
  </r>
  <r>
    <s v="EMP302"/>
    <s v="Employee_302"/>
    <x v="5"/>
    <x v="3"/>
    <x v="1"/>
    <s v="06/08/2020"/>
    <n v="74868"/>
    <s v="Mumbai"/>
    <n v="9"/>
    <s v="Resigned"/>
  </r>
  <r>
    <s v="EMP303"/>
    <s v="Employee_303"/>
    <x v="5"/>
    <x v="1"/>
    <x v="1"/>
    <s v="18/07/2022"/>
    <n v="93899"/>
    <s v="Pune"/>
    <n v="7"/>
    <s v="Active"/>
  </r>
  <r>
    <s v="EMP304"/>
    <s v="Employee_304"/>
    <x v="3"/>
    <x v="4"/>
    <x v="2"/>
    <s v="21/05/2017"/>
    <n v="94006"/>
    <s v="Bangalore"/>
    <n v="2"/>
    <s v="Resigned"/>
  </r>
  <r>
    <s v="EMP305"/>
    <s v="Employee_305"/>
    <x v="5"/>
    <x v="2"/>
    <x v="1"/>
    <s v="09/02/2019"/>
    <n v="58347"/>
    <s v="Mumbai"/>
    <n v="2"/>
    <s v="Active"/>
  </r>
  <r>
    <s v="EMP306"/>
    <s v="Employee_306"/>
    <x v="3"/>
    <x v="0"/>
    <x v="1"/>
    <s v="15/07/2021"/>
    <n v="45548"/>
    <s v="Bangalore"/>
    <n v="4"/>
    <s v="Resigned"/>
  </r>
  <r>
    <s v="EMP307"/>
    <s v="Employee_307"/>
    <x v="1"/>
    <x v="4"/>
    <x v="2"/>
    <s v="24/05/2017"/>
    <n v="93589"/>
    <s v="Pune"/>
    <n v="1"/>
    <s v="On Leave"/>
  </r>
  <r>
    <s v="EMP308"/>
    <s v="Employee_308"/>
    <x v="3"/>
    <x v="0"/>
    <x v="1"/>
    <s v="09/06/2016"/>
    <n v="33661"/>
    <s v="Pune"/>
    <n v="4"/>
    <s v="On Leave"/>
  </r>
  <r>
    <s v="EMP309"/>
    <s v="Employee_309"/>
    <x v="1"/>
    <x v="0"/>
    <x v="0"/>
    <s v="03/02/2016"/>
    <n v="33453"/>
    <s v="Pune"/>
    <n v="8"/>
    <s v="On Leave"/>
  </r>
  <r>
    <s v="EMP310"/>
    <s v="Employee_310"/>
    <x v="3"/>
    <x v="4"/>
    <x v="1"/>
    <s v="11/03/2022"/>
    <n v="102562"/>
    <s v="Delhi"/>
    <n v="6"/>
    <s v="On Leave"/>
  </r>
  <r>
    <s v="EMP311"/>
    <s v="Employee_311"/>
    <x v="0"/>
    <x v="1"/>
    <x v="1"/>
    <s v="11/08/2023"/>
    <n v="45865"/>
    <s v="Kolkata"/>
    <n v="7"/>
    <s v="Active"/>
  </r>
  <r>
    <s v="EMP312"/>
    <s v="Employee_312"/>
    <x v="3"/>
    <x v="4"/>
    <x v="1"/>
    <s v="16/06/2025"/>
    <n v="63208"/>
    <s v="Kolkata"/>
    <n v="8"/>
    <s v="Resigned"/>
  </r>
  <r>
    <s v="EMP313"/>
    <s v="Employee_313"/>
    <x v="2"/>
    <x v="4"/>
    <x v="2"/>
    <s v="04/10/2015"/>
    <n v="36056"/>
    <s v="Bangalore"/>
    <n v="0"/>
    <s v="Resigned"/>
  </r>
  <r>
    <s v="EMP314"/>
    <s v="Employee_314"/>
    <x v="0"/>
    <x v="0"/>
    <x v="0"/>
    <s v="13/12/2023"/>
    <n v="91348"/>
    <s v="Hyderabad"/>
    <n v="2"/>
    <s v="Resigned"/>
  </r>
  <r>
    <s v="EMP315"/>
    <s v="Employee_315"/>
    <x v="3"/>
    <x v="0"/>
    <x v="2"/>
    <s v="07/10/2023"/>
    <n v="61322"/>
    <s v="Delhi"/>
    <n v="1"/>
    <s v="Active"/>
  </r>
  <r>
    <s v="EMP316"/>
    <s v="Employee_316"/>
    <x v="3"/>
    <x v="2"/>
    <x v="1"/>
    <s v="11/09/2025"/>
    <n v="61160"/>
    <s v="Pune"/>
    <n v="7"/>
    <s v="On Leave"/>
  </r>
  <r>
    <s v="EMP317"/>
    <s v="Employee_317"/>
    <x v="2"/>
    <x v="0"/>
    <x v="2"/>
    <s v="20/02/2015"/>
    <n v="113021"/>
    <s v="Delhi"/>
    <n v="2"/>
    <s v="On Leave"/>
  </r>
  <r>
    <s v="EMP318"/>
    <s v="Employee_318"/>
    <x v="4"/>
    <x v="0"/>
    <x v="2"/>
    <s v="16/07/2017"/>
    <n v="70266"/>
    <s v="Delhi"/>
    <n v="4"/>
    <s v="Resigned"/>
  </r>
  <r>
    <s v="EMP319"/>
    <s v="Employee_319"/>
    <x v="4"/>
    <x v="4"/>
    <x v="2"/>
    <s v="06/01/2021"/>
    <n v="36563"/>
    <s v="Hyderabad"/>
    <n v="3"/>
    <s v="Active"/>
  </r>
  <r>
    <s v="EMP320"/>
    <s v="Employee_320"/>
    <x v="0"/>
    <x v="0"/>
    <x v="1"/>
    <s v="26/01/2019"/>
    <n v="119629"/>
    <s v="Bangalore"/>
    <n v="8"/>
    <s v="On Leave"/>
  </r>
  <r>
    <s v="EMP321"/>
    <s v="Employee_321"/>
    <x v="2"/>
    <x v="4"/>
    <x v="1"/>
    <s v="01/02/2016"/>
    <n v="75820"/>
    <s v="Pune"/>
    <n v="7"/>
    <s v="On Leave"/>
  </r>
  <r>
    <s v="EMP322"/>
    <s v="Employee_322"/>
    <x v="1"/>
    <x v="0"/>
    <x v="0"/>
    <s v="16/12/2017"/>
    <n v="83009"/>
    <s v="Chennai"/>
    <n v="8"/>
    <s v="On Leave"/>
  </r>
  <r>
    <s v="EMP323"/>
    <s v="Employee_323"/>
    <x v="4"/>
    <x v="3"/>
    <x v="0"/>
    <s v="04/07/2016"/>
    <n v="104267"/>
    <s v="Delhi"/>
    <n v="10"/>
    <s v="Active"/>
  </r>
  <r>
    <s v="EMP324"/>
    <s v="Employee_324"/>
    <x v="4"/>
    <x v="0"/>
    <x v="1"/>
    <s v="28/07/2025"/>
    <n v="72713"/>
    <s v="Kolkata"/>
    <n v="4"/>
    <s v="Resigned"/>
  </r>
  <r>
    <s v="EMP325"/>
    <s v="Employee_325"/>
    <x v="2"/>
    <x v="2"/>
    <x v="2"/>
    <s v="31/07/2022"/>
    <n v="75989"/>
    <s v="Hyderabad"/>
    <n v="0"/>
    <s v="On Leave"/>
  </r>
  <r>
    <s v="EMP326"/>
    <s v="Employee_326"/>
    <x v="5"/>
    <x v="1"/>
    <x v="1"/>
    <s v="15/07/2019"/>
    <n v="75753"/>
    <s v="Pune"/>
    <n v="3"/>
    <s v="On Leave"/>
  </r>
  <r>
    <s v="EMP327"/>
    <s v="Employee_327"/>
    <x v="5"/>
    <x v="1"/>
    <x v="2"/>
    <s v="25/09/2024"/>
    <n v="87566"/>
    <s v="Hyderabad"/>
    <n v="4"/>
    <s v="Resigned"/>
  </r>
  <r>
    <s v="EMP328"/>
    <s v="Employee_328"/>
    <x v="1"/>
    <x v="3"/>
    <x v="0"/>
    <s v="07/03/2020"/>
    <n v="85294"/>
    <s v="Delhi"/>
    <n v="8"/>
    <s v="Active"/>
  </r>
  <r>
    <s v="EMP329"/>
    <s v="Employee_329"/>
    <x v="2"/>
    <x v="0"/>
    <x v="1"/>
    <s v="26/08/2016"/>
    <n v="66193"/>
    <s v="Delhi"/>
    <n v="7"/>
    <s v="Resigned"/>
  </r>
  <r>
    <s v="EMP330"/>
    <s v="Employee_330"/>
    <x v="2"/>
    <x v="2"/>
    <x v="2"/>
    <s v="13/04/2024"/>
    <n v="107424"/>
    <s v="Hyderabad"/>
    <n v="5"/>
    <s v="On Leave"/>
  </r>
  <r>
    <s v="EMP331"/>
    <s v="Employee_331"/>
    <x v="2"/>
    <x v="2"/>
    <x v="2"/>
    <s v="27/04/2020"/>
    <n v="55429"/>
    <s v="Pune"/>
    <n v="3"/>
    <s v="On Leave"/>
  </r>
  <r>
    <s v="EMP332"/>
    <s v="Employee_332"/>
    <x v="0"/>
    <x v="4"/>
    <x v="2"/>
    <s v="10/11/2019"/>
    <n v="95855"/>
    <s v="Hyderabad"/>
    <n v="4"/>
    <s v="On Leave"/>
  </r>
  <r>
    <s v="EMP333"/>
    <s v="Employee_333"/>
    <x v="3"/>
    <x v="2"/>
    <x v="2"/>
    <s v="07/05/2021"/>
    <n v="112595"/>
    <s v="Mumbai"/>
    <n v="6"/>
    <s v="On Leave"/>
  </r>
  <r>
    <s v="EMP334"/>
    <s v="Employee_334"/>
    <x v="1"/>
    <x v="4"/>
    <x v="1"/>
    <s v="02/11/2021"/>
    <n v="57167"/>
    <s v="Chennai"/>
    <n v="10"/>
    <s v="Active"/>
  </r>
  <r>
    <s v="EMP335"/>
    <s v="Employee_335"/>
    <x v="4"/>
    <x v="0"/>
    <x v="0"/>
    <s v="14/10/2023"/>
    <n v="54890"/>
    <s v="Bangalore"/>
    <n v="5"/>
    <s v="Active"/>
  </r>
  <r>
    <s v="EMP336"/>
    <s v="Employee_336"/>
    <x v="3"/>
    <x v="3"/>
    <x v="1"/>
    <s v="21/12/2017"/>
    <n v="94644"/>
    <s v="Mumbai"/>
    <n v="2"/>
    <s v="Active"/>
  </r>
  <r>
    <s v="EMP337"/>
    <s v="Employee_337"/>
    <x v="2"/>
    <x v="3"/>
    <x v="1"/>
    <s v="27/11/2018"/>
    <n v="119516"/>
    <s v="Pune"/>
    <n v="3"/>
    <s v="On Leave"/>
  </r>
  <r>
    <s v="EMP338"/>
    <s v="Employee_338"/>
    <x v="0"/>
    <x v="3"/>
    <x v="0"/>
    <s v="05/03/2019"/>
    <n v="55856"/>
    <s v="Bangalore"/>
    <n v="9"/>
    <s v="Active"/>
  </r>
  <r>
    <s v="EMP339"/>
    <s v="Employee_339"/>
    <x v="4"/>
    <x v="0"/>
    <x v="2"/>
    <s v="05/03/2020"/>
    <n v="61202"/>
    <s v="Kolkata"/>
    <n v="1"/>
    <s v="Resigned"/>
  </r>
  <r>
    <s v="EMP340"/>
    <s v="Employee_340"/>
    <x v="2"/>
    <x v="2"/>
    <x v="1"/>
    <s v="07/12/2022"/>
    <n v="86992"/>
    <s v="Pune"/>
    <n v="1"/>
    <s v="On Leave"/>
  </r>
  <r>
    <s v="EMP341"/>
    <s v="Employee_341"/>
    <x v="1"/>
    <x v="3"/>
    <x v="1"/>
    <s v="15/04/2018"/>
    <n v="51073"/>
    <s v="Delhi"/>
    <n v="9"/>
    <s v="On Leave"/>
  </r>
  <r>
    <s v="EMP342"/>
    <s v="Employee_342"/>
    <x v="5"/>
    <x v="1"/>
    <x v="2"/>
    <s v="07/05/2018"/>
    <n v="96745"/>
    <s v="Delhi"/>
    <n v="1"/>
    <s v="Resigned"/>
  </r>
  <r>
    <s v="EMP343"/>
    <s v="Employee_343"/>
    <x v="0"/>
    <x v="2"/>
    <x v="2"/>
    <s v="28/12/2017"/>
    <n v="55536"/>
    <s v="Hyderabad"/>
    <n v="8"/>
    <s v="Active"/>
  </r>
  <r>
    <s v="EMP344"/>
    <s v="Employee_344"/>
    <x v="5"/>
    <x v="4"/>
    <x v="0"/>
    <s v="18/09/2024"/>
    <n v="114152"/>
    <s v="Kolkata"/>
    <n v="4"/>
    <s v="Resigned"/>
  </r>
  <r>
    <s v="EMP345"/>
    <s v="Employee_345"/>
    <x v="1"/>
    <x v="2"/>
    <x v="2"/>
    <s v="21/09/2015"/>
    <n v="93454"/>
    <s v="Mumbai"/>
    <n v="3"/>
    <s v="On Leave"/>
  </r>
  <r>
    <s v="EMP346"/>
    <s v="Employee_346"/>
    <x v="5"/>
    <x v="4"/>
    <x v="0"/>
    <s v="01/07/2024"/>
    <n v="116889"/>
    <s v="Kolkata"/>
    <n v="0"/>
    <s v="On Leave"/>
  </r>
  <r>
    <s v="EMP347"/>
    <s v="Employee_347"/>
    <x v="4"/>
    <x v="0"/>
    <x v="2"/>
    <s v="16/09/2023"/>
    <n v="118377"/>
    <s v="Bangalore"/>
    <n v="10"/>
    <s v="Active"/>
  </r>
  <r>
    <s v="EMP348"/>
    <s v="Employee_348"/>
    <x v="4"/>
    <x v="2"/>
    <x v="2"/>
    <s v="08/07/2017"/>
    <n v="112390"/>
    <s v="Hyderabad"/>
    <n v="0"/>
    <s v="Active"/>
  </r>
  <r>
    <s v="EMP349"/>
    <s v="Employee_349"/>
    <x v="1"/>
    <x v="0"/>
    <x v="0"/>
    <s v="21/11/2024"/>
    <n v="56310"/>
    <s v="Chennai"/>
    <n v="5"/>
    <s v="On Leave"/>
  </r>
  <r>
    <s v="EMP350"/>
    <s v="Employee_350"/>
    <x v="1"/>
    <x v="2"/>
    <x v="2"/>
    <s v="30/12/2022"/>
    <n v="46215"/>
    <s v="Kolkata"/>
    <n v="6"/>
    <s v="On Leave"/>
  </r>
  <r>
    <s v="EMP351"/>
    <s v="Employee_351"/>
    <x v="5"/>
    <x v="1"/>
    <x v="2"/>
    <s v="26/12/2022"/>
    <n v="62608"/>
    <s v="Hyderabad"/>
    <n v="7"/>
    <s v="Active"/>
  </r>
  <r>
    <s v="EMP352"/>
    <s v="Employee_352"/>
    <x v="5"/>
    <x v="1"/>
    <x v="1"/>
    <s v="29/05/2019"/>
    <n v="69460"/>
    <s v="Bangalore"/>
    <n v="4"/>
    <s v="Resigned"/>
  </r>
  <r>
    <s v="EMP353"/>
    <s v="Employee_353"/>
    <x v="1"/>
    <x v="4"/>
    <x v="2"/>
    <s v="02/11/2022"/>
    <n v="47152"/>
    <s v="Pune"/>
    <n v="4"/>
    <s v="On Leave"/>
  </r>
  <r>
    <s v="EMP354"/>
    <s v="Employee_354"/>
    <x v="4"/>
    <x v="0"/>
    <x v="1"/>
    <s v="12/10/2015"/>
    <n v="118167"/>
    <s v="Pune"/>
    <n v="0"/>
    <s v="On Leave"/>
  </r>
  <r>
    <s v="EMP355"/>
    <s v="Employee_355"/>
    <x v="2"/>
    <x v="3"/>
    <x v="2"/>
    <s v="13/02/2023"/>
    <n v="71023"/>
    <s v="Kolkata"/>
    <n v="3"/>
    <s v="Resigned"/>
  </r>
  <r>
    <s v="EMP356"/>
    <s v="Employee_356"/>
    <x v="3"/>
    <x v="1"/>
    <x v="0"/>
    <s v="10/04/2021"/>
    <n v="31990"/>
    <s v="Delhi"/>
    <n v="0"/>
    <s v="Active"/>
  </r>
  <r>
    <s v="EMP357"/>
    <s v="Employee_357"/>
    <x v="5"/>
    <x v="0"/>
    <x v="2"/>
    <s v="27/05/2016"/>
    <n v="82352"/>
    <s v="Delhi"/>
    <n v="8"/>
    <s v="Active"/>
  </r>
  <r>
    <s v="EMP358"/>
    <s v="Employee_358"/>
    <x v="0"/>
    <x v="1"/>
    <x v="2"/>
    <s v="10/01/2022"/>
    <n v="67047"/>
    <s v="Chennai"/>
    <n v="6"/>
    <s v="On Leave"/>
  </r>
  <r>
    <s v="EMP359"/>
    <s v="Employee_359"/>
    <x v="1"/>
    <x v="2"/>
    <x v="2"/>
    <s v="31/07/2021"/>
    <n v="49638"/>
    <s v="Delhi"/>
    <n v="3"/>
    <s v="On Leave"/>
  </r>
  <r>
    <s v="EMP360"/>
    <s v="Employee_360"/>
    <x v="3"/>
    <x v="2"/>
    <x v="2"/>
    <s v="09/12/2024"/>
    <n v="39121"/>
    <s v="Kolkata"/>
    <n v="3"/>
    <s v="On Leave"/>
  </r>
  <r>
    <s v="EMP361"/>
    <s v="Employee_361"/>
    <x v="0"/>
    <x v="1"/>
    <x v="0"/>
    <s v="18/04/2018"/>
    <n v="42819"/>
    <s v="Chennai"/>
    <n v="1"/>
    <s v="Resigned"/>
  </r>
  <r>
    <s v="EMP362"/>
    <s v="Employee_362"/>
    <x v="0"/>
    <x v="3"/>
    <x v="2"/>
    <s v="18/11/2016"/>
    <n v="44976"/>
    <s v="Chennai"/>
    <n v="5"/>
    <s v="Resigned"/>
  </r>
  <r>
    <s v="EMP363"/>
    <s v="Employee_363"/>
    <x v="5"/>
    <x v="0"/>
    <x v="0"/>
    <s v="10/01/2022"/>
    <n v="72263"/>
    <s v="Mumbai"/>
    <n v="10"/>
    <s v="Resigned"/>
  </r>
  <r>
    <s v="EMP364"/>
    <s v="Employee_364"/>
    <x v="1"/>
    <x v="1"/>
    <x v="2"/>
    <s v="27/07/2023"/>
    <n v="111491"/>
    <s v="Pune"/>
    <n v="4"/>
    <s v="On Leave"/>
  </r>
  <r>
    <s v="EMP365"/>
    <s v="Employee_365"/>
    <x v="2"/>
    <x v="3"/>
    <x v="1"/>
    <s v="27/01/2022"/>
    <n v="72747"/>
    <s v="Chennai"/>
    <n v="7"/>
    <s v="On Leave"/>
  </r>
  <r>
    <s v="EMP366"/>
    <s v="Employee_366"/>
    <x v="4"/>
    <x v="3"/>
    <x v="1"/>
    <s v="13/01/2022"/>
    <n v="95605"/>
    <s v="Bangalore"/>
    <n v="10"/>
    <s v="Resigned"/>
  </r>
  <r>
    <s v="EMP367"/>
    <s v="Employee_367"/>
    <x v="2"/>
    <x v="0"/>
    <x v="0"/>
    <s v="02/02/2025"/>
    <n v="44201"/>
    <s v="Hyderabad"/>
    <n v="1"/>
    <s v="Active"/>
  </r>
  <r>
    <s v="EMP368"/>
    <s v="Employee_368"/>
    <x v="0"/>
    <x v="1"/>
    <x v="2"/>
    <s v="08/08/2025"/>
    <n v="67599"/>
    <s v="Hyderabad"/>
    <n v="7"/>
    <s v="Active"/>
  </r>
  <r>
    <s v="EMP369"/>
    <s v="Employee_369"/>
    <x v="1"/>
    <x v="3"/>
    <x v="2"/>
    <s v="30/09/2020"/>
    <n v="99258"/>
    <s v="Kolkata"/>
    <n v="10"/>
    <s v="Resigned"/>
  </r>
  <r>
    <s v="EMP370"/>
    <s v="Employee_370"/>
    <x v="4"/>
    <x v="2"/>
    <x v="1"/>
    <s v="24/04/2017"/>
    <n v="64577"/>
    <s v="Pune"/>
    <n v="5"/>
    <s v="Active"/>
  </r>
  <r>
    <s v="EMP371"/>
    <s v="Employee_371"/>
    <x v="3"/>
    <x v="4"/>
    <x v="1"/>
    <s v="25/10/2017"/>
    <n v="72564"/>
    <s v="Mumbai"/>
    <n v="8"/>
    <s v="Resigned"/>
  </r>
  <r>
    <s v="EMP372"/>
    <s v="Employee_372"/>
    <x v="0"/>
    <x v="4"/>
    <x v="2"/>
    <s v="23/04/2018"/>
    <n v="38169"/>
    <s v="Pune"/>
    <n v="7"/>
    <s v="Active"/>
  </r>
  <r>
    <s v="EMP373"/>
    <s v="Employee_373"/>
    <x v="3"/>
    <x v="1"/>
    <x v="1"/>
    <s v="16/11/2021"/>
    <n v="35431"/>
    <s v="Kolkata"/>
    <n v="5"/>
    <s v="On Leave"/>
  </r>
  <r>
    <s v="EMP374"/>
    <s v="Employee_374"/>
    <x v="5"/>
    <x v="1"/>
    <x v="0"/>
    <s v="10/09/2023"/>
    <n v="77326"/>
    <s v="Bangalore"/>
    <n v="3"/>
    <s v="Resigned"/>
  </r>
  <r>
    <s v="EMP375"/>
    <s v="Employee_375"/>
    <x v="2"/>
    <x v="3"/>
    <x v="1"/>
    <s v="06/09/2020"/>
    <n v="61705"/>
    <s v="Delhi"/>
    <n v="10"/>
    <s v="Active"/>
  </r>
  <r>
    <s v="EMP376"/>
    <s v="Employee_376"/>
    <x v="2"/>
    <x v="2"/>
    <x v="0"/>
    <s v="10/09/2024"/>
    <n v="114572"/>
    <s v="Mumbai"/>
    <n v="0"/>
    <s v="On Leave"/>
  </r>
  <r>
    <s v="EMP377"/>
    <s v="Employee_377"/>
    <x v="0"/>
    <x v="2"/>
    <x v="1"/>
    <s v="15/05/2020"/>
    <n v="41695"/>
    <s v="Bangalore"/>
    <n v="7"/>
    <s v="Active"/>
  </r>
  <r>
    <s v="EMP378"/>
    <s v="Employee_378"/>
    <x v="5"/>
    <x v="4"/>
    <x v="1"/>
    <s v="05/03/2025"/>
    <n v="101110"/>
    <s v="Hyderabad"/>
    <n v="3"/>
    <s v="Resigned"/>
  </r>
  <r>
    <s v="EMP379"/>
    <s v="Employee_379"/>
    <x v="3"/>
    <x v="0"/>
    <x v="1"/>
    <s v="23/05/2015"/>
    <n v="59831"/>
    <s v="Mumbai"/>
    <n v="4"/>
    <s v="On Leave"/>
  </r>
  <r>
    <s v="EMP380"/>
    <s v="Employee_380"/>
    <x v="0"/>
    <x v="4"/>
    <x v="0"/>
    <s v="01/09/2024"/>
    <n v="84055"/>
    <s v="Delhi"/>
    <n v="6"/>
    <s v="On Leave"/>
  </r>
  <r>
    <s v="EMP381"/>
    <s v="Employee_381"/>
    <x v="2"/>
    <x v="1"/>
    <x v="1"/>
    <s v="20/10/2020"/>
    <n v="31024"/>
    <s v="Kolkata"/>
    <n v="6"/>
    <s v="Resigned"/>
  </r>
  <r>
    <s v="EMP382"/>
    <s v="Employee_382"/>
    <x v="4"/>
    <x v="2"/>
    <x v="2"/>
    <s v="09/10/2019"/>
    <n v="113339"/>
    <s v="Pune"/>
    <n v="9"/>
    <s v="Active"/>
  </r>
  <r>
    <s v="EMP383"/>
    <s v="Employee_383"/>
    <x v="5"/>
    <x v="2"/>
    <x v="0"/>
    <s v="02/01/2015"/>
    <n v="99179"/>
    <s v="Pune"/>
    <n v="6"/>
    <s v="Resigned"/>
  </r>
  <r>
    <s v="EMP384"/>
    <s v="Employee_384"/>
    <x v="0"/>
    <x v="0"/>
    <x v="2"/>
    <s v="24/11/2018"/>
    <n v="43383"/>
    <s v="Chennai"/>
    <n v="2"/>
    <s v="Active"/>
  </r>
  <r>
    <s v="EMP385"/>
    <s v="Employee_385"/>
    <x v="5"/>
    <x v="2"/>
    <x v="2"/>
    <s v="31/07/2024"/>
    <n v="60137"/>
    <s v="Delhi"/>
    <n v="7"/>
    <s v="Active"/>
  </r>
  <r>
    <s v="EMP386"/>
    <s v="Employee_386"/>
    <x v="4"/>
    <x v="0"/>
    <x v="1"/>
    <s v="15/09/2015"/>
    <n v="102300"/>
    <s v="Delhi"/>
    <n v="9"/>
    <s v="On Leave"/>
  </r>
  <r>
    <s v="EMP387"/>
    <s v="Employee_387"/>
    <x v="4"/>
    <x v="4"/>
    <x v="1"/>
    <s v="18/01/2024"/>
    <n v="67096"/>
    <s v="Pune"/>
    <n v="4"/>
    <s v="Resigned"/>
  </r>
  <r>
    <s v="EMP388"/>
    <s v="Employee_388"/>
    <x v="2"/>
    <x v="0"/>
    <x v="2"/>
    <s v="30/10/2015"/>
    <n v="40063"/>
    <s v="Chennai"/>
    <n v="9"/>
    <s v="Resigned"/>
  </r>
  <r>
    <s v="EMP389"/>
    <s v="Employee_389"/>
    <x v="1"/>
    <x v="3"/>
    <x v="1"/>
    <s v="30/09/2015"/>
    <n v="98021"/>
    <s v="Mumbai"/>
    <n v="2"/>
    <s v="Resigned"/>
  </r>
  <r>
    <s v="EMP390"/>
    <s v="Employee_390"/>
    <x v="5"/>
    <x v="2"/>
    <x v="2"/>
    <s v="24/06/2024"/>
    <n v="86175"/>
    <s v="Kolkata"/>
    <n v="5"/>
    <s v="On Leave"/>
  </r>
  <r>
    <s v="EMP391"/>
    <s v="Employee_391"/>
    <x v="0"/>
    <x v="0"/>
    <x v="1"/>
    <s v="18/06/2021"/>
    <n v="104239"/>
    <s v="Hyderabad"/>
    <n v="3"/>
    <s v="On Leave"/>
  </r>
  <r>
    <s v="EMP392"/>
    <s v="Employee_392"/>
    <x v="3"/>
    <x v="2"/>
    <x v="0"/>
    <s v="03/06/2018"/>
    <n v="59990"/>
    <s v="Kolkata"/>
    <n v="9"/>
    <s v="Active"/>
  </r>
  <r>
    <s v="EMP393"/>
    <s v="Employee_393"/>
    <x v="3"/>
    <x v="3"/>
    <x v="2"/>
    <s v="03/09/2021"/>
    <n v="52522"/>
    <s v="Mumbai"/>
    <n v="8"/>
    <s v="On Leave"/>
  </r>
  <r>
    <s v="EMP394"/>
    <s v="Employee_394"/>
    <x v="0"/>
    <x v="1"/>
    <x v="1"/>
    <s v="21/07/2017"/>
    <n v="101868"/>
    <s v="Hyderabad"/>
    <n v="3"/>
    <s v="Resigned"/>
  </r>
  <r>
    <s v="EMP395"/>
    <s v="Employee_395"/>
    <x v="0"/>
    <x v="4"/>
    <x v="0"/>
    <s v="21/12/2021"/>
    <n v="97116"/>
    <s v="Bangalore"/>
    <n v="7"/>
    <s v="On Leave"/>
  </r>
  <r>
    <s v="EMP396"/>
    <s v="Employee_396"/>
    <x v="0"/>
    <x v="0"/>
    <x v="0"/>
    <s v="02/07/2024"/>
    <n v="97148"/>
    <s v="Pune"/>
    <n v="0"/>
    <s v="On Leave"/>
  </r>
  <r>
    <s v="EMP397"/>
    <s v="Employee_397"/>
    <x v="4"/>
    <x v="2"/>
    <x v="0"/>
    <s v="30/01/2016"/>
    <n v="43437"/>
    <s v="Delhi"/>
    <n v="4"/>
    <s v="On Leave"/>
  </r>
  <r>
    <s v="EMP398"/>
    <s v="Employee_398"/>
    <x v="4"/>
    <x v="3"/>
    <x v="0"/>
    <s v="08/05/2021"/>
    <n v="89491"/>
    <s v="Mumbai"/>
    <n v="10"/>
    <s v="On Leave"/>
  </r>
  <r>
    <s v="EMP399"/>
    <s v="Employee_399"/>
    <x v="0"/>
    <x v="3"/>
    <x v="0"/>
    <s v="03/02/2024"/>
    <n v="64743"/>
    <s v="Kolkata"/>
    <n v="5"/>
    <s v="Active"/>
  </r>
  <r>
    <s v="EMP400"/>
    <s v="Employee_400"/>
    <x v="5"/>
    <x v="3"/>
    <x v="2"/>
    <s v="08/02/2023"/>
    <n v="46775"/>
    <s v="Kolkata"/>
    <n v="2"/>
    <s v="Resig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F60429-DB97-6347-9415-E36606DA3760}"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O14:P51" firstHeaderRow="1" firstDataRow="1" firstDataCol="1"/>
  <pivotFields count="10">
    <pivotField showAll="0"/>
    <pivotField showAll="0"/>
    <pivotField axis="axisRow" showAll="0">
      <items count="7">
        <item x="1"/>
        <item x="5"/>
        <item x="0"/>
        <item x="2"/>
        <item x="3"/>
        <item x="4"/>
        <item t="default"/>
      </items>
    </pivotField>
    <pivotField axis="axisRow" showAll="0">
      <items count="6">
        <item x="0"/>
        <item x="1"/>
        <item x="4"/>
        <item x="3"/>
        <item x="2"/>
        <item t="default"/>
      </items>
    </pivotField>
    <pivotField showAll="0">
      <items count="4">
        <item x="2"/>
        <item x="1"/>
        <item x="0"/>
        <item t="default"/>
      </items>
    </pivotField>
    <pivotField showAll="0"/>
    <pivotField showAll="0"/>
    <pivotField showAll="0"/>
    <pivotField dataField="1" showAll="0"/>
    <pivotField showAll="0"/>
  </pivotFields>
  <rowFields count="2">
    <field x="2"/>
    <field x="3"/>
  </rowFields>
  <rowItems count="37">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t="grand">
      <x/>
    </i>
  </rowItems>
  <colItems count="1">
    <i/>
  </colItems>
  <dataFields count="1">
    <dataField name="Average of Experience (Years)" fld="8"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1DF5D2-1416-4D40-8077-56DF420AEE0F}"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3:K10" firstHeaderRow="1" firstDataRow="1" firstDataCol="1"/>
  <pivotFields count="10">
    <pivotField showAll="0"/>
    <pivotField showAll="0"/>
    <pivotField axis="axisRow" showAll="0">
      <items count="7">
        <item x="1"/>
        <item x="5"/>
        <item x="0"/>
        <item x="2"/>
        <item x="3"/>
        <item x="4"/>
        <item t="default"/>
      </items>
    </pivotField>
    <pivotField showAll="0"/>
    <pivotField showAll="0"/>
    <pivotField showAll="0"/>
    <pivotField dataField="1" showAll="0"/>
    <pivotField showAll="0"/>
    <pivotField showAll="0"/>
    <pivotField showAll="0"/>
  </pivotFields>
  <rowFields count="1">
    <field x="2"/>
  </rowFields>
  <rowItems count="7">
    <i>
      <x/>
    </i>
    <i>
      <x v="1"/>
    </i>
    <i>
      <x v="2"/>
    </i>
    <i>
      <x v="3"/>
    </i>
    <i>
      <x v="4"/>
    </i>
    <i>
      <x v="5"/>
    </i>
    <i t="grand">
      <x/>
    </i>
  </rowItems>
  <colItems count="1">
    <i/>
  </colItems>
  <dataFields count="1">
    <dataField name="Sum of Salary"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626DA34A-6E0D-5E43-BE03-A58804FEF854}" sourceName="Department">
  <pivotTables>
    <pivotTable tabId="2" name="PivotTable2"/>
  </pivotTables>
  <data>
    <tabular pivotCacheId="294483873">
      <items count="6">
        <i x="1" s="1"/>
        <i x="5"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1" xr10:uid="{4C04855A-825D-3D44-98AA-4CFE9A3BC820}" sourceName="Designation">
  <pivotTables>
    <pivotTable tabId="2" name="PivotTable3"/>
  </pivotTables>
  <data>
    <tabular pivotCacheId="294483873">
      <items count="5">
        <i x="0" s="1"/>
        <i x="1" s="1"/>
        <i x="4"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CC1FD75-1B57-0E45-8BF8-9879094D6C87}" sourceName="Department">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 xr10:uid="{672BA978-D802-394B-ABBF-5A01E3FFE258}" sourceName="Designation">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_Years" xr10:uid="{561723CB-9D51-CD4A-89C1-C0E61332F59F}" sourceName="Experience (Years)">
  <extLst>
    <x:ext xmlns:x15="http://schemas.microsoft.com/office/spreadsheetml/2010/11/main" uri="{2F2917AC-EB37-4324-AD4E-5DD8C200BD13}">
      <x15:tableSlicerCache tableId="1"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25DCD37-8531-FD43-822E-3A7CC33D572B}" cache="Slicer_Department" caption="Department" rowHeight="230716"/>
  <slicer name="Department 1" xr10:uid="{6010AF2B-042B-3F4D-9A92-D660F576B47D}" cache="Slicer_Department" caption="Department" rowHeight="230716"/>
  <slicer name="Department 2" xr10:uid="{175B71F9-C371-9A4F-8463-41D7C68E742E}" cache="Slicer_Department" caption="Department" rowHeight="230716"/>
  <slicer name="Department 3" xr10:uid="{9AAC26E3-8896-2345-8E52-B0ED8F3013D2}" cache="Slicer_Department" caption="Department" rowHeight="230716"/>
  <slicer name="Department 4" xr10:uid="{A39EA29A-6DDD-4F44-A1EF-CC71609E420E}" cache="Slicer_Department" caption="Department" rowHeight="230716"/>
  <slicer name="Department 5" xr10:uid="{8504FC5A-9A75-1748-A58B-1E2B5CC58F0C}" cache="Slicer_Department" caption="Department" rowHeight="230716"/>
  <slicer name="Designation" xr10:uid="{DD2A6947-1138-484D-BC39-63AAD7726952}" cache="Slicer_Designation" caption="Designation" rowHeight="230716"/>
  <slicer name="Experience (Years)" xr10:uid="{198C91E7-0E86-4242-94CB-37446933678A}" cache="Slicer_Experience__Years" caption="Experience (Years)" rowHeight="230716"/>
  <slicer name="Experience (Years) 1" xr10:uid="{0225CD7A-4E6F-2241-830E-B0D9394E2770}" cache="Slicer_Experience__Years" caption="Experience (Years)" rowHeight="230716"/>
  <slicer name="Experience (Years) 2" xr10:uid="{604740B9-86C8-F84F-9509-05735BB769AB}" cache="Slicer_Experience__Years" caption="Experience (Years)"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6" xr10:uid="{1A54B6A7-BF75-AC4E-8E12-67258CCC7558}" cache="Slicer_Department1" caption="Department" rowHeight="230716"/>
  <slicer name="Designation 1" xr10:uid="{07C8DC4E-EF15-8F4B-AB5B-7B7CCAFC8E8F}" cache="Slicer_Designation1" caption="Designat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mployeeData" displayName="EmployeeData" ref="A1:J401">
  <autoFilter ref="A1:J401" xr:uid="{00000000-0009-0000-0100-000001000000}"/>
  <sortState xmlns:xlrd2="http://schemas.microsoft.com/office/spreadsheetml/2017/richdata2" ref="A2:J402">
    <sortCondition ref="A1:A402"/>
  </sortState>
  <tableColumns count="10">
    <tableColumn id="1" xr3:uid="{00000000-0010-0000-0000-000001000000}" name="Employee ID"/>
    <tableColumn id="2" xr3:uid="{00000000-0010-0000-0000-000002000000}" name="Name"/>
    <tableColumn id="3" xr3:uid="{00000000-0010-0000-0000-000003000000}" name="Department"/>
    <tableColumn id="4" xr3:uid="{00000000-0010-0000-0000-000004000000}" name="Designation"/>
    <tableColumn id="5" xr3:uid="{00000000-0010-0000-0000-000005000000}" name="Gender"/>
    <tableColumn id="6" xr3:uid="{00000000-0010-0000-0000-000006000000}" name="Date of Joining"/>
    <tableColumn id="7" xr3:uid="{00000000-0010-0000-0000-000007000000}" name="Salary"/>
    <tableColumn id="8" xr3:uid="{00000000-0010-0000-0000-000008000000}" name="City"/>
    <tableColumn id="9" xr3:uid="{00000000-0010-0000-0000-000009000000}" name="Experience (Years)"/>
    <tableColumn id="10" xr3:uid="{00000000-0010-0000-0000-00000A000000}" name="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2"/>
  <sheetViews>
    <sheetView topLeftCell="A2" zoomScale="116" workbookViewId="0">
      <selection activeCell="A2" sqref="A2:J401"/>
    </sheetView>
  </sheetViews>
  <sheetFormatPr baseColWidth="10" defaultColWidth="8.83203125" defaultRowHeight="15" x14ac:dyDescent="0.2"/>
  <cols>
    <col min="1" max="1" width="16.83203125" customWidth="1"/>
    <col min="2" max="2" width="15.1640625" customWidth="1"/>
    <col min="3" max="4" width="13" customWidth="1"/>
    <col min="5" max="5" width="9.6640625" customWidth="1"/>
    <col min="6" max="6" width="15.6640625" customWidth="1"/>
    <col min="7" max="7" width="10.1640625" customWidth="1"/>
    <col min="8" max="8" width="10" customWidth="1"/>
    <col min="9" max="9" width="17.6640625" customWidth="1"/>
    <col min="10" max="10" width="12.1640625" customWidth="1"/>
  </cols>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t="s">
        <v>12</v>
      </c>
      <c r="D2" t="s">
        <v>13</v>
      </c>
      <c r="E2" t="s">
        <v>14</v>
      </c>
      <c r="F2" t="s">
        <v>15</v>
      </c>
      <c r="G2">
        <v>70562</v>
      </c>
      <c r="H2" t="s">
        <v>16</v>
      </c>
      <c r="I2">
        <v>10</v>
      </c>
      <c r="J2" t="s">
        <v>17</v>
      </c>
    </row>
    <row r="3" spans="1:10" x14ac:dyDescent="0.2">
      <c r="A3" t="s">
        <v>18</v>
      </c>
      <c r="B3" t="s">
        <v>19</v>
      </c>
      <c r="C3" t="s">
        <v>12</v>
      </c>
      <c r="D3" t="s">
        <v>20</v>
      </c>
      <c r="E3" t="s">
        <v>14</v>
      </c>
      <c r="F3" t="s">
        <v>21</v>
      </c>
      <c r="G3">
        <v>34616</v>
      </c>
      <c r="H3" t="s">
        <v>22</v>
      </c>
      <c r="I3">
        <v>9</v>
      </c>
      <c r="J3" t="s">
        <v>17</v>
      </c>
    </row>
    <row r="4" spans="1:10" x14ac:dyDescent="0.2">
      <c r="A4" t="s">
        <v>23</v>
      </c>
      <c r="B4" t="s">
        <v>24</v>
      </c>
      <c r="C4" t="s">
        <v>25</v>
      </c>
      <c r="D4" t="s">
        <v>20</v>
      </c>
      <c r="E4" t="s">
        <v>26</v>
      </c>
      <c r="F4" t="s">
        <v>27</v>
      </c>
      <c r="G4">
        <v>110703</v>
      </c>
      <c r="H4" t="s">
        <v>28</v>
      </c>
      <c r="I4">
        <v>10</v>
      </c>
      <c r="J4" t="s">
        <v>17</v>
      </c>
    </row>
    <row r="5" spans="1:10" x14ac:dyDescent="0.2">
      <c r="A5" t="s">
        <v>29</v>
      </c>
      <c r="B5" t="s">
        <v>30</v>
      </c>
      <c r="C5" t="s">
        <v>31</v>
      </c>
      <c r="D5" t="s">
        <v>13</v>
      </c>
      <c r="E5" t="s">
        <v>26</v>
      </c>
      <c r="F5" t="s">
        <v>32</v>
      </c>
      <c r="G5">
        <v>36701</v>
      </c>
      <c r="H5" t="s">
        <v>33</v>
      </c>
      <c r="I5">
        <v>1</v>
      </c>
      <c r="J5" t="s">
        <v>17</v>
      </c>
    </row>
    <row r="6" spans="1:10" x14ac:dyDescent="0.2">
      <c r="A6" t="s">
        <v>34</v>
      </c>
      <c r="B6" t="s">
        <v>35</v>
      </c>
      <c r="C6" t="s">
        <v>25</v>
      </c>
      <c r="D6" t="s">
        <v>20</v>
      </c>
      <c r="E6" t="s">
        <v>26</v>
      </c>
      <c r="F6" t="s">
        <v>36</v>
      </c>
      <c r="G6">
        <v>86767</v>
      </c>
      <c r="H6" t="s">
        <v>37</v>
      </c>
      <c r="I6">
        <v>0</v>
      </c>
      <c r="J6" t="s">
        <v>38</v>
      </c>
    </row>
    <row r="7" spans="1:10" x14ac:dyDescent="0.2">
      <c r="A7" t="s">
        <v>39</v>
      </c>
      <c r="B7" t="s">
        <v>40</v>
      </c>
      <c r="C7" t="s">
        <v>31</v>
      </c>
      <c r="D7" t="s">
        <v>13</v>
      </c>
      <c r="E7" t="s">
        <v>26</v>
      </c>
      <c r="F7" t="s">
        <v>41</v>
      </c>
      <c r="G7">
        <v>51967</v>
      </c>
      <c r="H7" t="s">
        <v>42</v>
      </c>
      <c r="I7">
        <v>9</v>
      </c>
      <c r="J7" t="s">
        <v>38</v>
      </c>
    </row>
    <row r="8" spans="1:10" x14ac:dyDescent="0.2">
      <c r="A8" t="s">
        <v>43</v>
      </c>
      <c r="B8" t="s">
        <v>44</v>
      </c>
      <c r="C8" t="s">
        <v>45</v>
      </c>
      <c r="D8" t="s">
        <v>13</v>
      </c>
      <c r="E8" t="s">
        <v>46</v>
      </c>
      <c r="F8" t="s">
        <v>47</v>
      </c>
      <c r="G8">
        <v>105123</v>
      </c>
      <c r="H8" t="s">
        <v>37</v>
      </c>
      <c r="I8">
        <v>10</v>
      </c>
      <c r="J8" t="s">
        <v>38</v>
      </c>
    </row>
    <row r="9" spans="1:10" x14ac:dyDescent="0.2">
      <c r="A9" t="s">
        <v>48</v>
      </c>
      <c r="B9" t="s">
        <v>49</v>
      </c>
      <c r="C9" t="s">
        <v>31</v>
      </c>
      <c r="D9" t="s">
        <v>13</v>
      </c>
      <c r="E9" t="s">
        <v>26</v>
      </c>
      <c r="F9" t="s">
        <v>50</v>
      </c>
      <c r="G9">
        <v>36230</v>
      </c>
      <c r="H9" t="s">
        <v>33</v>
      </c>
      <c r="I9">
        <v>6</v>
      </c>
      <c r="J9" t="s">
        <v>51</v>
      </c>
    </row>
    <row r="10" spans="1:10" x14ac:dyDescent="0.2">
      <c r="A10" t="s">
        <v>52</v>
      </c>
      <c r="B10" t="s">
        <v>53</v>
      </c>
      <c r="C10" t="s">
        <v>31</v>
      </c>
      <c r="D10" t="s">
        <v>54</v>
      </c>
      <c r="E10" t="s">
        <v>46</v>
      </c>
      <c r="F10" t="s">
        <v>55</v>
      </c>
      <c r="G10">
        <v>47690</v>
      </c>
      <c r="H10" t="s">
        <v>42</v>
      </c>
      <c r="I10">
        <v>0</v>
      </c>
      <c r="J10" t="s">
        <v>38</v>
      </c>
    </row>
    <row r="11" spans="1:10" x14ac:dyDescent="0.2">
      <c r="A11" t="s">
        <v>56</v>
      </c>
      <c r="B11" t="s">
        <v>57</v>
      </c>
      <c r="C11" t="s">
        <v>58</v>
      </c>
      <c r="D11" t="s">
        <v>59</v>
      </c>
      <c r="E11" t="s">
        <v>26</v>
      </c>
      <c r="F11" t="s">
        <v>60</v>
      </c>
      <c r="G11">
        <v>113097</v>
      </c>
      <c r="H11" t="s">
        <v>33</v>
      </c>
      <c r="I11">
        <v>2</v>
      </c>
      <c r="J11" t="s">
        <v>51</v>
      </c>
    </row>
    <row r="12" spans="1:10" x14ac:dyDescent="0.2">
      <c r="A12" t="s">
        <v>61</v>
      </c>
      <c r="B12" t="s">
        <v>62</v>
      </c>
      <c r="C12" t="s">
        <v>58</v>
      </c>
      <c r="D12" t="s">
        <v>63</v>
      </c>
      <c r="E12" t="s">
        <v>26</v>
      </c>
      <c r="F12" t="s">
        <v>64</v>
      </c>
      <c r="G12">
        <v>72643</v>
      </c>
      <c r="H12" t="s">
        <v>22</v>
      </c>
      <c r="I12">
        <v>4</v>
      </c>
      <c r="J12" t="s">
        <v>51</v>
      </c>
    </row>
    <row r="13" spans="1:10" x14ac:dyDescent="0.2">
      <c r="A13" t="s">
        <v>65</v>
      </c>
      <c r="B13" t="s">
        <v>66</v>
      </c>
      <c r="C13" t="s">
        <v>45</v>
      </c>
      <c r="D13" t="s">
        <v>13</v>
      </c>
      <c r="E13" t="s">
        <v>14</v>
      </c>
      <c r="F13" t="s">
        <v>67</v>
      </c>
      <c r="G13">
        <v>118975</v>
      </c>
      <c r="H13" t="s">
        <v>33</v>
      </c>
      <c r="I13">
        <v>0</v>
      </c>
      <c r="J13" t="s">
        <v>38</v>
      </c>
    </row>
    <row r="14" spans="1:10" x14ac:dyDescent="0.2">
      <c r="A14" t="s">
        <v>68</v>
      </c>
      <c r="B14" t="s">
        <v>69</v>
      </c>
      <c r="C14" t="s">
        <v>12</v>
      </c>
      <c r="D14" t="s">
        <v>20</v>
      </c>
      <c r="E14" t="s">
        <v>14</v>
      </c>
      <c r="F14" t="s">
        <v>70</v>
      </c>
      <c r="G14">
        <v>101037</v>
      </c>
      <c r="H14" t="s">
        <v>42</v>
      </c>
      <c r="I14">
        <v>6</v>
      </c>
      <c r="J14" t="s">
        <v>51</v>
      </c>
    </row>
    <row r="15" spans="1:10" x14ac:dyDescent="0.2">
      <c r="A15" t="s">
        <v>71</v>
      </c>
      <c r="B15" t="s">
        <v>72</v>
      </c>
      <c r="C15" t="s">
        <v>45</v>
      </c>
      <c r="D15" t="s">
        <v>13</v>
      </c>
      <c r="E15" t="s">
        <v>26</v>
      </c>
      <c r="F15" t="s">
        <v>73</v>
      </c>
      <c r="G15">
        <v>85008</v>
      </c>
      <c r="H15" t="s">
        <v>42</v>
      </c>
      <c r="I15">
        <v>5</v>
      </c>
      <c r="J15" t="s">
        <v>17</v>
      </c>
    </row>
    <row r="16" spans="1:10" x14ac:dyDescent="0.2">
      <c r="A16" t="s">
        <v>74</v>
      </c>
      <c r="B16" t="s">
        <v>75</v>
      </c>
      <c r="C16" t="s">
        <v>45</v>
      </c>
      <c r="D16" t="s">
        <v>13</v>
      </c>
      <c r="E16" t="s">
        <v>46</v>
      </c>
      <c r="F16" t="s">
        <v>76</v>
      </c>
      <c r="G16">
        <v>67175</v>
      </c>
      <c r="H16" t="s">
        <v>77</v>
      </c>
      <c r="I16">
        <v>1</v>
      </c>
      <c r="J16" t="s">
        <v>38</v>
      </c>
    </row>
    <row r="17" spans="1:10" x14ac:dyDescent="0.2">
      <c r="A17" t="s">
        <v>78</v>
      </c>
      <c r="B17" t="s">
        <v>79</v>
      </c>
      <c r="C17" t="s">
        <v>80</v>
      </c>
      <c r="D17" t="s">
        <v>59</v>
      </c>
      <c r="E17" t="s">
        <v>46</v>
      </c>
      <c r="F17" t="s">
        <v>81</v>
      </c>
      <c r="G17">
        <v>91957</v>
      </c>
      <c r="H17" t="s">
        <v>16</v>
      </c>
      <c r="I17">
        <v>1</v>
      </c>
      <c r="J17" t="s">
        <v>51</v>
      </c>
    </row>
    <row r="18" spans="1:10" x14ac:dyDescent="0.2">
      <c r="A18" t="s">
        <v>82</v>
      </c>
      <c r="B18" t="s">
        <v>83</v>
      </c>
      <c r="C18" t="s">
        <v>12</v>
      </c>
      <c r="D18" t="s">
        <v>59</v>
      </c>
      <c r="E18" t="s">
        <v>46</v>
      </c>
      <c r="F18" t="s">
        <v>84</v>
      </c>
      <c r="G18">
        <v>69530</v>
      </c>
      <c r="H18" t="s">
        <v>77</v>
      </c>
      <c r="I18">
        <v>6</v>
      </c>
      <c r="J18" t="s">
        <v>51</v>
      </c>
    </row>
    <row r="19" spans="1:10" x14ac:dyDescent="0.2">
      <c r="A19" t="s">
        <v>85</v>
      </c>
      <c r="B19" t="s">
        <v>86</v>
      </c>
      <c r="C19" t="s">
        <v>12</v>
      </c>
      <c r="D19" t="s">
        <v>59</v>
      </c>
      <c r="E19" t="s">
        <v>14</v>
      </c>
      <c r="F19" t="s">
        <v>87</v>
      </c>
      <c r="G19">
        <v>80912</v>
      </c>
      <c r="H19" t="s">
        <v>33</v>
      </c>
      <c r="I19">
        <v>5</v>
      </c>
      <c r="J19" t="s">
        <v>38</v>
      </c>
    </row>
    <row r="20" spans="1:10" x14ac:dyDescent="0.2">
      <c r="A20" t="s">
        <v>88</v>
      </c>
      <c r="B20" t="s">
        <v>89</v>
      </c>
      <c r="C20" t="s">
        <v>31</v>
      </c>
      <c r="D20" t="s">
        <v>20</v>
      </c>
      <c r="E20" t="s">
        <v>26</v>
      </c>
      <c r="F20" t="s">
        <v>90</v>
      </c>
      <c r="G20">
        <v>92744</v>
      </c>
      <c r="H20" t="s">
        <v>28</v>
      </c>
      <c r="I20">
        <v>5</v>
      </c>
      <c r="J20" t="s">
        <v>38</v>
      </c>
    </row>
    <row r="21" spans="1:10" x14ac:dyDescent="0.2">
      <c r="A21" t="s">
        <v>91</v>
      </c>
      <c r="B21" t="s">
        <v>92</v>
      </c>
      <c r="C21" t="s">
        <v>58</v>
      </c>
      <c r="D21" t="s">
        <v>20</v>
      </c>
      <c r="E21" t="s">
        <v>26</v>
      </c>
      <c r="F21" t="s">
        <v>93</v>
      </c>
      <c r="G21">
        <v>109146</v>
      </c>
      <c r="H21" t="s">
        <v>22</v>
      </c>
      <c r="I21">
        <v>0</v>
      </c>
      <c r="J21" t="s">
        <v>38</v>
      </c>
    </row>
    <row r="22" spans="1:10" x14ac:dyDescent="0.2">
      <c r="A22" t="s">
        <v>94</v>
      </c>
      <c r="B22" t="s">
        <v>95</v>
      </c>
      <c r="C22" t="s">
        <v>31</v>
      </c>
      <c r="D22" t="s">
        <v>63</v>
      </c>
      <c r="E22" t="s">
        <v>14</v>
      </c>
      <c r="F22" t="s">
        <v>96</v>
      </c>
      <c r="G22">
        <v>87571</v>
      </c>
      <c r="H22" t="s">
        <v>33</v>
      </c>
      <c r="I22">
        <v>4</v>
      </c>
      <c r="J22" t="s">
        <v>51</v>
      </c>
    </row>
    <row r="23" spans="1:10" x14ac:dyDescent="0.2">
      <c r="A23" t="s">
        <v>97</v>
      </c>
      <c r="B23" t="s">
        <v>98</v>
      </c>
      <c r="C23" t="s">
        <v>12</v>
      </c>
      <c r="D23" t="s">
        <v>54</v>
      </c>
      <c r="E23" t="s">
        <v>14</v>
      </c>
      <c r="F23" t="s">
        <v>99</v>
      </c>
      <c r="G23">
        <v>54999</v>
      </c>
      <c r="H23" t="s">
        <v>77</v>
      </c>
      <c r="I23">
        <v>2</v>
      </c>
      <c r="J23" t="s">
        <v>38</v>
      </c>
    </row>
    <row r="24" spans="1:10" x14ac:dyDescent="0.2">
      <c r="A24" t="s">
        <v>100</v>
      </c>
      <c r="B24" t="s">
        <v>101</v>
      </c>
      <c r="C24" t="s">
        <v>58</v>
      </c>
      <c r="D24" t="s">
        <v>63</v>
      </c>
      <c r="E24" t="s">
        <v>46</v>
      </c>
      <c r="F24" t="s">
        <v>102</v>
      </c>
      <c r="G24">
        <v>116623</v>
      </c>
      <c r="H24" t="s">
        <v>37</v>
      </c>
      <c r="I24">
        <v>3</v>
      </c>
      <c r="J24" t="s">
        <v>51</v>
      </c>
    </row>
    <row r="25" spans="1:10" x14ac:dyDescent="0.2">
      <c r="A25" t="s">
        <v>103</v>
      </c>
      <c r="B25" t="s">
        <v>104</v>
      </c>
      <c r="C25" t="s">
        <v>58</v>
      </c>
      <c r="D25" t="s">
        <v>20</v>
      </c>
      <c r="E25" t="s">
        <v>26</v>
      </c>
      <c r="F25" t="s">
        <v>105</v>
      </c>
      <c r="G25">
        <v>101456</v>
      </c>
      <c r="H25" t="s">
        <v>37</v>
      </c>
      <c r="I25">
        <v>0</v>
      </c>
      <c r="J25" t="s">
        <v>51</v>
      </c>
    </row>
    <row r="26" spans="1:10" x14ac:dyDescent="0.2">
      <c r="A26" t="s">
        <v>106</v>
      </c>
      <c r="B26" t="s">
        <v>107</v>
      </c>
      <c r="C26" t="s">
        <v>12</v>
      </c>
      <c r="D26" t="s">
        <v>13</v>
      </c>
      <c r="E26" t="s">
        <v>26</v>
      </c>
      <c r="F26" t="s">
        <v>108</v>
      </c>
      <c r="G26">
        <v>77622</v>
      </c>
      <c r="H26" t="s">
        <v>16</v>
      </c>
      <c r="I26">
        <v>8</v>
      </c>
      <c r="J26" t="s">
        <v>17</v>
      </c>
    </row>
    <row r="27" spans="1:10" x14ac:dyDescent="0.2">
      <c r="A27" t="s">
        <v>109</v>
      </c>
      <c r="B27" t="s">
        <v>110</v>
      </c>
      <c r="C27" t="s">
        <v>45</v>
      </c>
      <c r="D27" t="s">
        <v>20</v>
      </c>
      <c r="E27" t="s">
        <v>14</v>
      </c>
      <c r="F27" t="s">
        <v>111</v>
      </c>
      <c r="G27">
        <v>113814</v>
      </c>
      <c r="H27" t="s">
        <v>33</v>
      </c>
      <c r="I27">
        <v>7</v>
      </c>
      <c r="J27" t="s">
        <v>51</v>
      </c>
    </row>
    <row r="28" spans="1:10" x14ac:dyDescent="0.2">
      <c r="A28" t="s">
        <v>112</v>
      </c>
      <c r="B28" t="s">
        <v>113</v>
      </c>
      <c r="C28" t="s">
        <v>45</v>
      </c>
      <c r="D28" t="s">
        <v>54</v>
      </c>
      <c r="E28" t="s">
        <v>46</v>
      </c>
      <c r="F28" t="s">
        <v>114</v>
      </c>
      <c r="G28">
        <v>90091</v>
      </c>
      <c r="H28" t="s">
        <v>16</v>
      </c>
      <c r="I28">
        <v>1</v>
      </c>
      <c r="J28" t="s">
        <v>38</v>
      </c>
    </row>
    <row r="29" spans="1:10" x14ac:dyDescent="0.2">
      <c r="A29" t="s">
        <v>115</v>
      </c>
      <c r="B29" t="s">
        <v>116</v>
      </c>
      <c r="C29" t="s">
        <v>58</v>
      </c>
      <c r="D29" t="s">
        <v>59</v>
      </c>
      <c r="E29" t="s">
        <v>46</v>
      </c>
      <c r="F29" t="s">
        <v>117</v>
      </c>
      <c r="G29">
        <v>53556</v>
      </c>
      <c r="H29" t="s">
        <v>33</v>
      </c>
      <c r="I29">
        <v>9</v>
      </c>
      <c r="J29" t="s">
        <v>17</v>
      </c>
    </row>
    <row r="30" spans="1:10" x14ac:dyDescent="0.2">
      <c r="A30" t="s">
        <v>118</v>
      </c>
      <c r="B30" t="s">
        <v>119</v>
      </c>
      <c r="C30" t="s">
        <v>80</v>
      </c>
      <c r="D30" t="s">
        <v>54</v>
      </c>
      <c r="E30" t="s">
        <v>46</v>
      </c>
      <c r="F30" t="s">
        <v>120</v>
      </c>
      <c r="G30">
        <v>94802</v>
      </c>
      <c r="H30" t="s">
        <v>16</v>
      </c>
      <c r="I30">
        <v>2</v>
      </c>
      <c r="J30" t="s">
        <v>51</v>
      </c>
    </row>
    <row r="31" spans="1:10" x14ac:dyDescent="0.2">
      <c r="A31" t="s">
        <v>121</v>
      </c>
      <c r="B31" t="s">
        <v>122</v>
      </c>
      <c r="C31" t="s">
        <v>12</v>
      </c>
      <c r="D31" t="s">
        <v>13</v>
      </c>
      <c r="E31" t="s">
        <v>14</v>
      </c>
      <c r="F31" t="s">
        <v>123</v>
      </c>
      <c r="G31">
        <v>78013</v>
      </c>
      <c r="H31" t="s">
        <v>77</v>
      </c>
      <c r="I31">
        <v>3</v>
      </c>
      <c r="J31" t="s">
        <v>17</v>
      </c>
    </row>
    <row r="32" spans="1:10" x14ac:dyDescent="0.2">
      <c r="A32" t="s">
        <v>124</v>
      </c>
      <c r="B32" t="s">
        <v>125</v>
      </c>
      <c r="C32" t="s">
        <v>25</v>
      </c>
      <c r="D32" t="s">
        <v>20</v>
      </c>
      <c r="E32" t="s">
        <v>14</v>
      </c>
      <c r="F32" t="s">
        <v>126</v>
      </c>
      <c r="G32">
        <v>117339</v>
      </c>
      <c r="H32" t="s">
        <v>33</v>
      </c>
      <c r="I32">
        <v>7</v>
      </c>
      <c r="J32" t="s">
        <v>38</v>
      </c>
    </row>
    <row r="33" spans="1:10" x14ac:dyDescent="0.2">
      <c r="A33" t="s">
        <v>127</v>
      </c>
      <c r="B33" t="s">
        <v>128</v>
      </c>
      <c r="C33" t="s">
        <v>80</v>
      </c>
      <c r="D33" t="s">
        <v>54</v>
      </c>
      <c r="E33" t="s">
        <v>14</v>
      </c>
      <c r="F33" t="s">
        <v>129</v>
      </c>
      <c r="G33">
        <v>81073</v>
      </c>
      <c r="H33" t="s">
        <v>28</v>
      </c>
      <c r="I33">
        <v>0</v>
      </c>
      <c r="J33" t="s">
        <v>38</v>
      </c>
    </row>
    <row r="34" spans="1:10" x14ac:dyDescent="0.2">
      <c r="A34" t="s">
        <v>130</v>
      </c>
      <c r="B34" t="s">
        <v>131</v>
      </c>
      <c r="C34" t="s">
        <v>80</v>
      </c>
      <c r="D34" t="s">
        <v>20</v>
      </c>
      <c r="E34" t="s">
        <v>26</v>
      </c>
      <c r="F34" t="s">
        <v>132</v>
      </c>
      <c r="G34">
        <v>75201</v>
      </c>
      <c r="H34" t="s">
        <v>22</v>
      </c>
      <c r="I34">
        <v>7</v>
      </c>
      <c r="J34" t="s">
        <v>38</v>
      </c>
    </row>
    <row r="35" spans="1:10" x14ac:dyDescent="0.2">
      <c r="A35" t="s">
        <v>133</v>
      </c>
      <c r="B35" t="s">
        <v>134</v>
      </c>
      <c r="C35" t="s">
        <v>31</v>
      </c>
      <c r="D35" t="s">
        <v>63</v>
      </c>
      <c r="E35" t="s">
        <v>46</v>
      </c>
      <c r="F35" t="s">
        <v>135</v>
      </c>
      <c r="G35">
        <v>53564</v>
      </c>
      <c r="H35" t="s">
        <v>16</v>
      </c>
      <c r="I35">
        <v>0</v>
      </c>
      <c r="J35" t="s">
        <v>51</v>
      </c>
    </row>
    <row r="36" spans="1:10" x14ac:dyDescent="0.2">
      <c r="A36" t="s">
        <v>136</v>
      </c>
      <c r="B36" t="s">
        <v>137</v>
      </c>
      <c r="C36" t="s">
        <v>80</v>
      </c>
      <c r="D36" t="s">
        <v>59</v>
      </c>
      <c r="E36" t="s">
        <v>26</v>
      </c>
      <c r="F36" t="s">
        <v>138</v>
      </c>
      <c r="G36">
        <v>77310</v>
      </c>
      <c r="H36" t="s">
        <v>28</v>
      </c>
      <c r="I36">
        <v>7</v>
      </c>
      <c r="J36" t="s">
        <v>51</v>
      </c>
    </row>
    <row r="37" spans="1:10" x14ac:dyDescent="0.2">
      <c r="A37" t="s">
        <v>139</v>
      </c>
      <c r="B37" t="s">
        <v>140</v>
      </c>
      <c r="C37" t="s">
        <v>80</v>
      </c>
      <c r="D37" t="s">
        <v>63</v>
      </c>
      <c r="E37" t="s">
        <v>46</v>
      </c>
      <c r="F37" t="s">
        <v>141</v>
      </c>
      <c r="G37">
        <v>42393</v>
      </c>
      <c r="H37" t="s">
        <v>37</v>
      </c>
      <c r="I37">
        <v>4</v>
      </c>
      <c r="J37" t="s">
        <v>51</v>
      </c>
    </row>
    <row r="38" spans="1:10" x14ac:dyDescent="0.2">
      <c r="A38" t="s">
        <v>142</v>
      </c>
      <c r="B38" t="s">
        <v>143</v>
      </c>
      <c r="C38" t="s">
        <v>80</v>
      </c>
      <c r="D38" t="s">
        <v>63</v>
      </c>
      <c r="E38" t="s">
        <v>26</v>
      </c>
      <c r="F38" t="s">
        <v>144</v>
      </c>
      <c r="G38">
        <v>97457</v>
      </c>
      <c r="H38" t="s">
        <v>77</v>
      </c>
      <c r="I38">
        <v>4</v>
      </c>
      <c r="J38" t="s">
        <v>51</v>
      </c>
    </row>
    <row r="39" spans="1:10" x14ac:dyDescent="0.2">
      <c r="A39" t="s">
        <v>145</v>
      </c>
      <c r="B39" t="s">
        <v>146</v>
      </c>
      <c r="C39" t="s">
        <v>45</v>
      </c>
      <c r="D39" t="s">
        <v>54</v>
      </c>
      <c r="E39" t="s">
        <v>46</v>
      </c>
      <c r="F39" t="s">
        <v>147</v>
      </c>
      <c r="G39">
        <v>67113</v>
      </c>
      <c r="H39" t="s">
        <v>16</v>
      </c>
      <c r="I39">
        <v>10</v>
      </c>
      <c r="J39" t="s">
        <v>51</v>
      </c>
    </row>
    <row r="40" spans="1:10" x14ac:dyDescent="0.2">
      <c r="A40" t="s">
        <v>148</v>
      </c>
      <c r="B40" t="s">
        <v>149</v>
      </c>
      <c r="C40" t="s">
        <v>31</v>
      </c>
      <c r="D40" t="s">
        <v>59</v>
      </c>
      <c r="E40" t="s">
        <v>26</v>
      </c>
      <c r="F40" t="s">
        <v>150</v>
      </c>
      <c r="G40">
        <v>44186</v>
      </c>
      <c r="H40" t="s">
        <v>37</v>
      </c>
      <c r="I40">
        <v>0</v>
      </c>
      <c r="J40" t="s">
        <v>51</v>
      </c>
    </row>
    <row r="41" spans="1:10" x14ac:dyDescent="0.2">
      <c r="A41" t="s">
        <v>151</v>
      </c>
      <c r="B41" t="s">
        <v>152</v>
      </c>
      <c r="C41" t="s">
        <v>45</v>
      </c>
      <c r="D41" t="s">
        <v>59</v>
      </c>
      <c r="E41" t="s">
        <v>26</v>
      </c>
      <c r="F41" t="s">
        <v>153</v>
      </c>
      <c r="G41">
        <v>30226</v>
      </c>
      <c r="H41" t="s">
        <v>16</v>
      </c>
      <c r="I41">
        <v>6</v>
      </c>
      <c r="J41" t="s">
        <v>51</v>
      </c>
    </row>
    <row r="42" spans="1:10" x14ac:dyDescent="0.2">
      <c r="A42" t="s">
        <v>154</v>
      </c>
      <c r="B42" t="s">
        <v>155</v>
      </c>
      <c r="C42" t="s">
        <v>45</v>
      </c>
      <c r="D42" t="s">
        <v>59</v>
      </c>
      <c r="E42" t="s">
        <v>46</v>
      </c>
      <c r="F42" t="s">
        <v>156</v>
      </c>
      <c r="G42">
        <v>63652</v>
      </c>
      <c r="H42" t="s">
        <v>37</v>
      </c>
      <c r="I42">
        <v>1</v>
      </c>
      <c r="J42" t="s">
        <v>51</v>
      </c>
    </row>
    <row r="43" spans="1:10" x14ac:dyDescent="0.2">
      <c r="A43" t="s">
        <v>157</v>
      </c>
      <c r="B43" t="s">
        <v>158</v>
      </c>
      <c r="C43" t="s">
        <v>45</v>
      </c>
      <c r="D43" t="s">
        <v>20</v>
      </c>
      <c r="E43" t="s">
        <v>14</v>
      </c>
      <c r="F43" t="s">
        <v>159</v>
      </c>
      <c r="G43">
        <v>96648</v>
      </c>
      <c r="H43" t="s">
        <v>77</v>
      </c>
      <c r="I43">
        <v>9</v>
      </c>
      <c r="J43" t="s">
        <v>38</v>
      </c>
    </row>
    <row r="44" spans="1:10" x14ac:dyDescent="0.2">
      <c r="A44" t="s">
        <v>160</v>
      </c>
      <c r="B44" t="s">
        <v>161</v>
      </c>
      <c r="C44" t="s">
        <v>80</v>
      </c>
      <c r="D44" t="s">
        <v>20</v>
      </c>
      <c r="E44" t="s">
        <v>14</v>
      </c>
      <c r="F44" t="s">
        <v>162</v>
      </c>
      <c r="G44">
        <v>39904</v>
      </c>
      <c r="H44" t="s">
        <v>42</v>
      </c>
      <c r="I44">
        <v>8</v>
      </c>
      <c r="J44" t="s">
        <v>51</v>
      </c>
    </row>
    <row r="45" spans="1:10" x14ac:dyDescent="0.2">
      <c r="A45" t="s">
        <v>163</v>
      </c>
      <c r="B45" t="s">
        <v>164</v>
      </c>
      <c r="C45" t="s">
        <v>45</v>
      </c>
      <c r="D45" t="s">
        <v>20</v>
      </c>
      <c r="E45" t="s">
        <v>26</v>
      </c>
      <c r="F45" t="s">
        <v>165</v>
      </c>
      <c r="G45">
        <v>48761</v>
      </c>
      <c r="H45" t="s">
        <v>42</v>
      </c>
      <c r="I45">
        <v>8</v>
      </c>
      <c r="J45" t="s">
        <v>51</v>
      </c>
    </row>
    <row r="46" spans="1:10" x14ac:dyDescent="0.2">
      <c r="A46" t="s">
        <v>166</v>
      </c>
      <c r="B46" t="s">
        <v>167</v>
      </c>
      <c r="C46" t="s">
        <v>25</v>
      </c>
      <c r="D46" t="s">
        <v>13</v>
      </c>
      <c r="E46" t="s">
        <v>46</v>
      </c>
      <c r="F46" t="s">
        <v>168</v>
      </c>
      <c r="G46">
        <v>65287</v>
      </c>
      <c r="H46" t="s">
        <v>37</v>
      </c>
      <c r="I46">
        <v>7</v>
      </c>
      <c r="J46" t="s">
        <v>51</v>
      </c>
    </row>
    <row r="47" spans="1:10" x14ac:dyDescent="0.2">
      <c r="A47" t="s">
        <v>169</v>
      </c>
      <c r="B47" t="s">
        <v>170</v>
      </c>
      <c r="C47" t="s">
        <v>31</v>
      </c>
      <c r="D47" t="s">
        <v>20</v>
      </c>
      <c r="E47" t="s">
        <v>46</v>
      </c>
      <c r="F47" t="s">
        <v>171</v>
      </c>
      <c r="G47">
        <v>58884</v>
      </c>
      <c r="H47" t="s">
        <v>77</v>
      </c>
      <c r="I47">
        <v>9</v>
      </c>
      <c r="J47" t="s">
        <v>51</v>
      </c>
    </row>
    <row r="48" spans="1:10" x14ac:dyDescent="0.2">
      <c r="A48" t="s">
        <v>172</v>
      </c>
      <c r="B48" t="s">
        <v>173</v>
      </c>
      <c r="C48" t="s">
        <v>58</v>
      </c>
      <c r="D48" t="s">
        <v>13</v>
      </c>
      <c r="E48" t="s">
        <v>46</v>
      </c>
      <c r="F48" t="s">
        <v>174</v>
      </c>
      <c r="G48">
        <v>95159</v>
      </c>
      <c r="H48" t="s">
        <v>37</v>
      </c>
      <c r="I48">
        <v>0</v>
      </c>
      <c r="J48" t="s">
        <v>51</v>
      </c>
    </row>
    <row r="49" spans="1:10" x14ac:dyDescent="0.2">
      <c r="A49" t="s">
        <v>175</v>
      </c>
      <c r="B49" t="s">
        <v>176</v>
      </c>
      <c r="C49" t="s">
        <v>80</v>
      </c>
      <c r="D49" t="s">
        <v>59</v>
      </c>
      <c r="E49" t="s">
        <v>26</v>
      </c>
      <c r="F49" t="s">
        <v>177</v>
      </c>
      <c r="G49">
        <v>112036</v>
      </c>
      <c r="H49" t="s">
        <v>16</v>
      </c>
      <c r="I49">
        <v>2</v>
      </c>
      <c r="J49" t="s">
        <v>38</v>
      </c>
    </row>
    <row r="50" spans="1:10" x14ac:dyDescent="0.2">
      <c r="A50" t="s">
        <v>178</v>
      </c>
      <c r="B50" t="s">
        <v>179</v>
      </c>
      <c r="C50" t="s">
        <v>80</v>
      </c>
      <c r="D50" t="s">
        <v>13</v>
      </c>
      <c r="E50" t="s">
        <v>46</v>
      </c>
      <c r="F50" t="s">
        <v>180</v>
      </c>
      <c r="G50">
        <v>35787</v>
      </c>
      <c r="H50" t="s">
        <v>16</v>
      </c>
      <c r="I50">
        <v>3</v>
      </c>
      <c r="J50" t="s">
        <v>17</v>
      </c>
    </row>
    <row r="51" spans="1:10" x14ac:dyDescent="0.2">
      <c r="A51" t="s">
        <v>181</v>
      </c>
      <c r="B51" t="s">
        <v>182</v>
      </c>
      <c r="C51" t="s">
        <v>80</v>
      </c>
      <c r="D51" t="s">
        <v>54</v>
      </c>
      <c r="E51" t="s">
        <v>46</v>
      </c>
      <c r="F51" t="s">
        <v>183</v>
      </c>
      <c r="G51">
        <v>73225</v>
      </c>
      <c r="H51" t="s">
        <v>33</v>
      </c>
      <c r="I51">
        <v>9</v>
      </c>
      <c r="J51" t="s">
        <v>38</v>
      </c>
    </row>
    <row r="52" spans="1:10" x14ac:dyDescent="0.2">
      <c r="A52" t="s">
        <v>184</v>
      </c>
      <c r="B52" t="s">
        <v>185</v>
      </c>
      <c r="C52" t="s">
        <v>25</v>
      </c>
      <c r="D52" t="s">
        <v>63</v>
      </c>
      <c r="E52" t="s">
        <v>26</v>
      </c>
      <c r="F52" t="s">
        <v>186</v>
      </c>
      <c r="G52">
        <v>50379</v>
      </c>
      <c r="H52" t="s">
        <v>33</v>
      </c>
      <c r="I52">
        <v>5</v>
      </c>
      <c r="J52" t="s">
        <v>17</v>
      </c>
    </row>
    <row r="53" spans="1:10" x14ac:dyDescent="0.2">
      <c r="A53" t="s">
        <v>187</v>
      </c>
      <c r="B53" t="s">
        <v>188</v>
      </c>
      <c r="C53" t="s">
        <v>12</v>
      </c>
      <c r="D53" t="s">
        <v>13</v>
      </c>
      <c r="E53" t="s">
        <v>46</v>
      </c>
      <c r="F53" t="s">
        <v>189</v>
      </c>
      <c r="G53">
        <v>116273</v>
      </c>
      <c r="H53" t="s">
        <v>22</v>
      </c>
      <c r="I53">
        <v>10</v>
      </c>
      <c r="J53" t="s">
        <v>17</v>
      </c>
    </row>
    <row r="54" spans="1:10" x14ac:dyDescent="0.2">
      <c r="A54" t="s">
        <v>190</v>
      </c>
      <c r="B54" t="s">
        <v>191</v>
      </c>
      <c r="C54" t="s">
        <v>25</v>
      </c>
      <c r="D54" t="s">
        <v>54</v>
      </c>
      <c r="E54" t="s">
        <v>14</v>
      </c>
      <c r="F54" t="s">
        <v>192</v>
      </c>
      <c r="G54">
        <v>63203</v>
      </c>
      <c r="H54" t="s">
        <v>28</v>
      </c>
      <c r="I54">
        <v>6</v>
      </c>
      <c r="J54" t="s">
        <v>17</v>
      </c>
    </row>
    <row r="55" spans="1:10" x14ac:dyDescent="0.2">
      <c r="A55" t="s">
        <v>193</v>
      </c>
      <c r="B55" t="s">
        <v>194</v>
      </c>
      <c r="C55" t="s">
        <v>45</v>
      </c>
      <c r="D55" t="s">
        <v>20</v>
      </c>
      <c r="E55" t="s">
        <v>14</v>
      </c>
      <c r="F55" t="s">
        <v>195</v>
      </c>
      <c r="G55">
        <v>49261</v>
      </c>
      <c r="H55" t="s">
        <v>42</v>
      </c>
      <c r="I55">
        <v>10</v>
      </c>
      <c r="J55" t="s">
        <v>38</v>
      </c>
    </row>
    <row r="56" spans="1:10" x14ac:dyDescent="0.2">
      <c r="A56" t="s">
        <v>196</v>
      </c>
      <c r="B56" t="s">
        <v>197</v>
      </c>
      <c r="C56" t="s">
        <v>45</v>
      </c>
      <c r="D56" t="s">
        <v>59</v>
      </c>
      <c r="E56" t="s">
        <v>14</v>
      </c>
      <c r="F56" t="s">
        <v>198</v>
      </c>
      <c r="G56">
        <v>72415</v>
      </c>
      <c r="H56" t="s">
        <v>77</v>
      </c>
      <c r="I56">
        <v>8</v>
      </c>
      <c r="J56" t="s">
        <v>17</v>
      </c>
    </row>
    <row r="57" spans="1:10" x14ac:dyDescent="0.2">
      <c r="A57" t="s">
        <v>199</v>
      </c>
      <c r="B57" t="s">
        <v>200</v>
      </c>
      <c r="C57" t="s">
        <v>12</v>
      </c>
      <c r="D57" t="s">
        <v>20</v>
      </c>
      <c r="E57" t="s">
        <v>46</v>
      </c>
      <c r="F57" t="s">
        <v>201</v>
      </c>
      <c r="G57">
        <v>94966</v>
      </c>
      <c r="H57" t="s">
        <v>22</v>
      </c>
      <c r="I57">
        <v>3</v>
      </c>
      <c r="J57" t="s">
        <v>51</v>
      </c>
    </row>
    <row r="58" spans="1:10" x14ac:dyDescent="0.2">
      <c r="A58" t="s">
        <v>202</v>
      </c>
      <c r="B58" t="s">
        <v>203</v>
      </c>
      <c r="C58" t="s">
        <v>45</v>
      </c>
      <c r="D58" t="s">
        <v>59</v>
      </c>
      <c r="E58" t="s">
        <v>14</v>
      </c>
      <c r="F58" t="s">
        <v>204</v>
      </c>
      <c r="G58">
        <v>49727</v>
      </c>
      <c r="H58" t="s">
        <v>28</v>
      </c>
      <c r="I58">
        <v>2</v>
      </c>
      <c r="J58" t="s">
        <v>17</v>
      </c>
    </row>
    <row r="59" spans="1:10" x14ac:dyDescent="0.2">
      <c r="A59" t="s">
        <v>205</v>
      </c>
      <c r="B59" t="s">
        <v>206</v>
      </c>
      <c r="C59" t="s">
        <v>45</v>
      </c>
      <c r="D59" t="s">
        <v>63</v>
      </c>
      <c r="E59" t="s">
        <v>26</v>
      </c>
      <c r="F59" t="s">
        <v>207</v>
      </c>
      <c r="G59">
        <v>101969</v>
      </c>
      <c r="H59" t="s">
        <v>33</v>
      </c>
      <c r="I59">
        <v>9</v>
      </c>
      <c r="J59" t="s">
        <v>17</v>
      </c>
    </row>
    <row r="60" spans="1:10" x14ac:dyDescent="0.2">
      <c r="A60" t="s">
        <v>208</v>
      </c>
      <c r="B60" t="s">
        <v>209</v>
      </c>
      <c r="C60" t="s">
        <v>45</v>
      </c>
      <c r="D60" t="s">
        <v>59</v>
      </c>
      <c r="E60" t="s">
        <v>14</v>
      </c>
      <c r="F60" t="s">
        <v>210</v>
      </c>
      <c r="G60">
        <v>59321</v>
      </c>
      <c r="H60" t="s">
        <v>22</v>
      </c>
      <c r="I60">
        <v>7</v>
      </c>
      <c r="J60" t="s">
        <v>38</v>
      </c>
    </row>
    <row r="61" spans="1:10" x14ac:dyDescent="0.2">
      <c r="A61" t="s">
        <v>211</v>
      </c>
      <c r="B61" t="s">
        <v>212</v>
      </c>
      <c r="C61" t="s">
        <v>12</v>
      </c>
      <c r="D61" t="s">
        <v>63</v>
      </c>
      <c r="E61" t="s">
        <v>14</v>
      </c>
      <c r="F61" t="s">
        <v>213</v>
      </c>
      <c r="G61">
        <v>101950</v>
      </c>
      <c r="H61" t="s">
        <v>33</v>
      </c>
      <c r="I61">
        <v>6</v>
      </c>
      <c r="J61" t="s">
        <v>51</v>
      </c>
    </row>
    <row r="62" spans="1:10" x14ac:dyDescent="0.2">
      <c r="A62" t="s">
        <v>214</v>
      </c>
      <c r="B62" t="s">
        <v>215</v>
      </c>
      <c r="C62" t="s">
        <v>80</v>
      </c>
      <c r="D62" t="s">
        <v>63</v>
      </c>
      <c r="E62" t="s">
        <v>46</v>
      </c>
      <c r="F62" t="s">
        <v>216</v>
      </c>
      <c r="G62">
        <v>108128</v>
      </c>
      <c r="H62" t="s">
        <v>33</v>
      </c>
      <c r="I62">
        <v>4</v>
      </c>
      <c r="J62" t="s">
        <v>17</v>
      </c>
    </row>
    <row r="63" spans="1:10" x14ac:dyDescent="0.2">
      <c r="A63" t="s">
        <v>217</v>
      </c>
      <c r="B63" t="s">
        <v>218</v>
      </c>
      <c r="C63" t="s">
        <v>58</v>
      </c>
      <c r="D63" t="s">
        <v>54</v>
      </c>
      <c r="E63" t="s">
        <v>26</v>
      </c>
      <c r="F63" t="s">
        <v>219</v>
      </c>
      <c r="G63">
        <v>45967</v>
      </c>
      <c r="H63" t="s">
        <v>16</v>
      </c>
      <c r="I63">
        <v>4</v>
      </c>
      <c r="J63" t="s">
        <v>38</v>
      </c>
    </row>
    <row r="64" spans="1:10" x14ac:dyDescent="0.2">
      <c r="A64" t="s">
        <v>220</v>
      </c>
      <c r="B64" t="s">
        <v>221</v>
      </c>
      <c r="C64" t="s">
        <v>45</v>
      </c>
      <c r="D64" t="s">
        <v>59</v>
      </c>
      <c r="E64" t="s">
        <v>14</v>
      </c>
      <c r="F64" t="s">
        <v>222</v>
      </c>
      <c r="G64">
        <v>71147</v>
      </c>
      <c r="H64" t="s">
        <v>22</v>
      </c>
      <c r="I64">
        <v>0</v>
      </c>
      <c r="J64" t="s">
        <v>51</v>
      </c>
    </row>
    <row r="65" spans="1:10" x14ac:dyDescent="0.2">
      <c r="A65" t="s">
        <v>223</v>
      </c>
      <c r="B65" t="s">
        <v>224</v>
      </c>
      <c r="C65" t="s">
        <v>12</v>
      </c>
      <c r="D65" t="s">
        <v>20</v>
      </c>
      <c r="E65" t="s">
        <v>14</v>
      </c>
      <c r="F65" t="s">
        <v>225</v>
      </c>
      <c r="G65">
        <v>74984</v>
      </c>
      <c r="H65" t="s">
        <v>37</v>
      </c>
      <c r="I65">
        <v>1</v>
      </c>
      <c r="J65" t="s">
        <v>38</v>
      </c>
    </row>
    <row r="66" spans="1:10" x14ac:dyDescent="0.2">
      <c r="A66" t="s">
        <v>226</v>
      </c>
      <c r="B66" t="s">
        <v>227</v>
      </c>
      <c r="C66" t="s">
        <v>58</v>
      </c>
      <c r="D66" t="s">
        <v>54</v>
      </c>
      <c r="E66" t="s">
        <v>14</v>
      </c>
      <c r="F66" t="s">
        <v>228</v>
      </c>
      <c r="G66">
        <v>109957</v>
      </c>
      <c r="H66" t="s">
        <v>28</v>
      </c>
      <c r="I66">
        <v>7</v>
      </c>
      <c r="J66" t="s">
        <v>38</v>
      </c>
    </row>
    <row r="67" spans="1:10" x14ac:dyDescent="0.2">
      <c r="A67" t="s">
        <v>229</v>
      </c>
      <c r="B67" t="s">
        <v>230</v>
      </c>
      <c r="C67" t="s">
        <v>45</v>
      </c>
      <c r="D67" t="s">
        <v>20</v>
      </c>
      <c r="E67" t="s">
        <v>26</v>
      </c>
      <c r="F67" t="s">
        <v>231</v>
      </c>
      <c r="G67">
        <v>66853</v>
      </c>
      <c r="H67" t="s">
        <v>16</v>
      </c>
      <c r="I67">
        <v>10</v>
      </c>
      <c r="J67" t="s">
        <v>17</v>
      </c>
    </row>
    <row r="68" spans="1:10" x14ac:dyDescent="0.2">
      <c r="A68" t="s">
        <v>232</v>
      </c>
      <c r="B68" t="s">
        <v>233</v>
      </c>
      <c r="C68" t="s">
        <v>80</v>
      </c>
      <c r="D68" t="s">
        <v>13</v>
      </c>
      <c r="E68" t="s">
        <v>46</v>
      </c>
      <c r="F68" t="s">
        <v>234</v>
      </c>
      <c r="G68">
        <v>63871</v>
      </c>
      <c r="H68" t="s">
        <v>33</v>
      </c>
      <c r="I68">
        <v>7</v>
      </c>
      <c r="J68" t="s">
        <v>17</v>
      </c>
    </row>
    <row r="69" spans="1:10" x14ac:dyDescent="0.2">
      <c r="A69" t="s">
        <v>235</v>
      </c>
      <c r="B69" t="s">
        <v>236</v>
      </c>
      <c r="C69" t="s">
        <v>58</v>
      </c>
      <c r="D69" t="s">
        <v>13</v>
      </c>
      <c r="E69" t="s">
        <v>14</v>
      </c>
      <c r="F69" t="s">
        <v>237</v>
      </c>
      <c r="G69">
        <v>67161</v>
      </c>
      <c r="H69" t="s">
        <v>42</v>
      </c>
      <c r="I69">
        <v>7</v>
      </c>
      <c r="J69" t="s">
        <v>38</v>
      </c>
    </row>
    <row r="70" spans="1:10" x14ac:dyDescent="0.2">
      <c r="A70" t="s">
        <v>238</v>
      </c>
      <c r="B70" t="s">
        <v>239</v>
      </c>
      <c r="C70" t="s">
        <v>58</v>
      </c>
      <c r="D70" t="s">
        <v>54</v>
      </c>
      <c r="E70" t="s">
        <v>26</v>
      </c>
      <c r="F70" t="s">
        <v>240</v>
      </c>
      <c r="G70">
        <v>112460</v>
      </c>
      <c r="H70" t="s">
        <v>42</v>
      </c>
      <c r="I70">
        <v>0</v>
      </c>
      <c r="J70" t="s">
        <v>38</v>
      </c>
    </row>
    <row r="71" spans="1:10" x14ac:dyDescent="0.2">
      <c r="A71" t="s">
        <v>241</v>
      </c>
      <c r="B71" t="s">
        <v>242</v>
      </c>
      <c r="C71" t="s">
        <v>80</v>
      </c>
      <c r="D71" t="s">
        <v>13</v>
      </c>
      <c r="E71" t="s">
        <v>14</v>
      </c>
      <c r="F71" t="s">
        <v>243</v>
      </c>
      <c r="G71">
        <v>42361</v>
      </c>
      <c r="H71" t="s">
        <v>37</v>
      </c>
      <c r="I71">
        <v>3</v>
      </c>
      <c r="J71" t="s">
        <v>51</v>
      </c>
    </row>
    <row r="72" spans="1:10" x14ac:dyDescent="0.2">
      <c r="A72" t="s">
        <v>244</v>
      </c>
      <c r="B72" t="s">
        <v>245</v>
      </c>
      <c r="C72" t="s">
        <v>80</v>
      </c>
      <c r="D72" t="s">
        <v>59</v>
      </c>
      <c r="E72" t="s">
        <v>46</v>
      </c>
      <c r="F72" t="s">
        <v>246</v>
      </c>
      <c r="G72">
        <v>88161</v>
      </c>
      <c r="H72" t="s">
        <v>42</v>
      </c>
      <c r="I72">
        <v>0</v>
      </c>
      <c r="J72" t="s">
        <v>38</v>
      </c>
    </row>
    <row r="73" spans="1:10" x14ac:dyDescent="0.2">
      <c r="A73" t="s">
        <v>247</v>
      </c>
      <c r="B73" t="s">
        <v>248</v>
      </c>
      <c r="C73" t="s">
        <v>25</v>
      </c>
      <c r="D73" t="s">
        <v>20</v>
      </c>
      <c r="E73" t="s">
        <v>26</v>
      </c>
      <c r="F73" t="s">
        <v>249</v>
      </c>
      <c r="G73">
        <v>67081</v>
      </c>
      <c r="H73" t="s">
        <v>16</v>
      </c>
      <c r="I73">
        <v>7</v>
      </c>
      <c r="J73" t="s">
        <v>17</v>
      </c>
    </row>
    <row r="74" spans="1:10" x14ac:dyDescent="0.2">
      <c r="A74" t="s">
        <v>250</v>
      </c>
      <c r="B74" t="s">
        <v>251</v>
      </c>
      <c r="C74" t="s">
        <v>12</v>
      </c>
      <c r="D74" t="s">
        <v>59</v>
      </c>
      <c r="E74" t="s">
        <v>46</v>
      </c>
      <c r="F74" t="s">
        <v>252</v>
      </c>
      <c r="G74">
        <v>67443</v>
      </c>
      <c r="H74" t="s">
        <v>37</v>
      </c>
      <c r="I74">
        <v>7</v>
      </c>
      <c r="J74" t="s">
        <v>17</v>
      </c>
    </row>
    <row r="75" spans="1:10" x14ac:dyDescent="0.2">
      <c r="A75" t="s">
        <v>253</v>
      </c>
      <c r="B75" t="s">
        <v>254</v>
      </c>
      <c r="C75" t="s">
        <v>12</v>
      </c>
      <c r="D75" t="s">
        <v>59</v>
      </c>
      <c r="E75" t="s">
        <v>46</v>
      </c>
      <c r="F75" t="s">
        <v>255</v>
      </c>
      <c r="G75">
        <v>42449</v>
      </c>
      <c r="H75" t="s">
        <v>42</v>
      </c>
      <c r="I75">
        <v>3</v>
      </c>
      <c r="J75" t="s">
        <v>17</v>
      </c>
    </row>
    <row r="76" spans="1:10" x14ac:dyDescent="0.2">
      <c r="A76" t="s">
        <v>256</v>
      </c>
      <c r="B76" t="s">
        <v>257</v>
      </c>
      <c r="C76" t="s">
        <v>31</v>
      </c>
      <c r="D76" t="s">
        <v>63</v>
      </c>
      <c r="E76" t="s">
        <v>14</v>
      </c>
      <c r="F76" t="s">
        <v>258</v>
      </c>
      <c r="G76">
        <v>36975</v>
      </c>
      <c r="H76" t="s">
        <v>33</v>
      </c>
      <c r="I76">
        <v>5</v>
      </c>
      <c r="J76" t="s">
        <v>51</v>
      </c>
    </row>
    <row r="77" spans="1:10" x14ac:dyDescent="0.2">
      <c r="A77" t="s">
        <v>259</v>
      </c>
      <c r="B77" t="s">
        <v>260</v>
      </c>
      <c r="C77" t="s">
        <v>25</v>
      </c>
      <c r="D77" t="s">
        <v>54</v>
      </c>
      <c r="E77" t="s">
        <v>26</v>
      </c>
      <c r="F77" t="s">
        <v>261</v>
      </c>
      <c r="G77">
        <v>89018</v>
      </c>
      <c r="H77" t="s">
        <v>33</v>
      </c>
      <c r="I77">
        <v>10</v>
      </c>
      <c r="J77" t="s">
        <v>38</v>
      </c>
    </row>
    <row r="78" spans="1:10" x14ac:dyDescent="0.2">
      <c r="A78" t="s">
        <v>262</v>
      </c>
      <c r="B78" t="s">
        <v>263</v>
      </c>
      <c r="C78" t="s">
        <v>25</v>
      </c>
      <c r="D78" t="s">
        <v>63</v>
      </c>
      <c r="E78" t="s">
        <v>14</v>
      </c>
      <c r="F78" t="s">
        <v>264</v>
      </c>
      <c r="G78">
        <v>73374</v>
      </c>
      <c r="H78" t="s">
        <v>37</v>
      </c>
      <c r="I78">
        <v>8</v>
      </c>
      <c r="J78" t="s">
        <v>51</v>
      </c>
    </row>
    <row r="79" spans="1:10" x14ac:dyDescent="0.2">
      <c r="A79" t="s">
        <v>265</v>
      </c>
      <c r="B79" t="s">
        <v>266</v>
      </c>
      <c r="C79" t="s">
        <v>31</v>
      </c>
      <c r="D79" t="s">
        <v>13</v>
      </c>
      <c r="E79" t="s">
        <v>46</v>
      </c>
      <c r="F79" t="s">
        <v>267</v>
      </c>
      <c r="G79">
        <v>37501</v>
      </c>
      <c r="H79" t="s">
        <v>16</v>
      </c>
      <c r="I79">
        <v>6</v>
      </c>
      <c r="J79" t="s">
        <v>38</v>
      </c>
    </row>
    <row r="80" spans="1:10" x14ac:dyDescent="0.2">
      <c r="A80" t="s">
        <v>268</v>
      </c>
      <c r="B80" t="s">
        <v>269</v>
      </c>
      <c r="C80" t="s">
        <v>31</v>
      </c>
      <c r="D80" t="s">
        <v>20</v>
      </c>
      <c r="E80" t="s">
        <v>14</v>
      </c>
      <c r="F80" t="s">
        <v>270</v>
      </c>
      <c r="G80">
        <v>102279</v>
      </c>
      <c r="H80" t="s">
        <v>42</v>
      </c>
      <c r="I80">
        <v>9</v>
      </c>
      <c r="J80" t="s">
        <v>51</v>
      </c>
    </row>
    <row r="81" spans="1:10" x14ac:dyDescent="0.2">
      <c r="A81" t="s">
        <v>271</v>
      </c>
      <c r="B81" t="s">
        <v>272</v>
      </c>
      <c r="C81" t="s">
        <v>25</v>
      </c>
      <c r="D81" t="s">
        <v>20</v>
      </c>
      <c r="E81" t="s">
        <v>14</v>
      </c>
      <c r="F81" t="s">
        <v>273</v>
      </c>
      <c r="G81">
        <v>80631</v>
      </c>
      <c r="H81" t="s">
        <v>22</v>
      </c>
      <c r="I81">
        <v>2</v>
      </c>
      <c r="J81" t="s">
        <v>38</v>
      </c>
    </row>
    <row r="82" spans="1:10" x14ac:dyDescent="0.2">
      <c r="A82" t="s">
        <v>274</v>
      </c>
      <c r="B82" t="s">
        <v>275</v>
      </c>
      <c r="C82" t="s">
        <v>31</v>
      </c>
      <c r="D82" t="s">
        <v>20</v>
      </c>
      <c r="E82" t="s">
        <v>14</v>
      </c>
      <c r="F82" t="s">
        <v>276</v>
      </c>
      <c r="G82">
        <v>54257</v>
      </c>
      <c r="H82" t="s">
        <v>22</v>
      </c>
      <c r="I82">
        <v>5</v>
      </c>
      <c r="J82" t="s">
        <v>51</v>
      </c>
    </row>
    <row r="83" spans="1:10" x14ac:dyDescent="0.2">
      <c r="A83" t="s">
        <v>277</v>
      </c>
      <c r="B83" t="s">
        <v>278</v>
      </c>
      <c r="C83" t="s">
        <v>58</v>
      </c>
      <c r="D83" t="s">
        <v>59</v>
      </c>
      <c r="E83" t="s">
        <v>26</v>
      </c>
      <c r="F83" t="s">
        <v>279</v>
      </c>
      <c r="G83">
        <v>39383</v>
      </c>
      <c r="H83" t="s">
        <v>16</v>
      </c>
      <c r="I83">
        <v>8</v>
      </c>
      <c r="J83" t="s">
        <v>17</v>
      </c>
    </row>
    <row r="84" spans="1:10" x14ac:dyDescent="0.2">
      <c r="A84" t="s">
        <v>280</v>
      </c>
      <c r="B84" t="s">
        <v>281</v>
      </c>
      <c r="C84" t="s">
        <v>25</v>
      </c>
      <c r="D84" t="s">
        <v>54</v>
      </c>
      <c r="E84" t="s">
        <v>14</v>
      </c>
      <c r="F84" t="s">
        <v>282</v>
      </c>
      <c r="G84">
        <v>71676</v>
      </c>
      <c r="H84" t="s">
        <v>22</v>
      </c>
      <c r="I84">
        <v>1</v>
      </c>
      <c r="J84" t="s">
        <v>17</v>
      </c>
    </row>
    <row r="85" spans="1:10" x14ac:dyDescent="0.2">
      <c r="A85" t="s">
        <v>283</v>
      </c>
      <c r="B85" t="s">
        <v>284</v>
      </c>
      <c r="C85" t="s">
        <v>80</v>
      </c>
      <c r="D85" t="s">
        <v>13</v>
      </c>
      <c r="E85" t="s">
        <v>26</v>
      </c>
      <c r="F85" t="s">
        <v>285</v>
      </c>
      <c r="G85">
        <v>36315</v>
      </c>
      <c r="H85" t="s">
        <v>37</v>
      </c>
      <c r="I85">
        <v>0</v>
      </c>
      <c r="J85" t="s">
        <v>38</v>
      </c>
    </row>
    <row r="86" spans="1:10" x14ac:dyDescent="0.2">
      <c r="A86" t="s">
        <v>286</v>
      </c>
      <c r="B86" t="s">
        <v>287</v>
      </c>
      <c r="C86" t="s">
        <v>80</v>
      </c>
      <c r="D86" t="s">
        <v>54</v>
      </c>
      <c r="E86" t="s">
        <v>14</v>
      </c>
      <c r="F86" t="s">
        <v>288</v>
      </c>
      <c r="G86">
        <v>104221</v>
      </c>
      <c r="H86" t="s">
        <v>16</v>
      </c>
      <c r="I86">
        <v>7</v>
      </c>
      <c r="J86" t="s">
        <v>17</v>
      </c>
    </row>
    <row r="87" spans="1:10" x14ac:dyDescent="0.2">
      <c r="A87" t="s">
        <v>289</v>
      </c>
      <c r="B87" t="s">
        <v>290</v>
      </c>
      <c r="C87" t="s">
        <v>12</v>
      </c>
      <c r="D87" t="s">
        <v>54</v>
      </c>
      <c r="E87" t="s">
        <v>26</v>
      </c>
      <c r="F87" t="s">
        <v>291</v>
      </c>
      <c r="G87">
        <v>52835</v>
      </c>
      <c r="H87" t="s">
        <v>37</v>
      </c>
      <c r="I87">
        <v>1</v>
      </c>
      <c r="J87" t="s">
        <v>51</v>
      </c>
    </row>
    <row r="88" spans="1:10" x14ac:dyDescent="0.2">
      <c r="A88" t="s">
        <v>292</v>
      </c>
      <c r="B88" t="s">
        <v>293</v>
      </c>
      <c r="C88" t="s">
        <v>31</v>
      </c>
      <c r="D88" t="s">
        <v>54</v>
      </c>
      <c r="E88" t="s">
        <v>46</v>
      </c>
      <c r="F88" t="s">
        <v>294</v>
      </c>
      <c r="G88">
        <v>49733</v>
      </c>
      <c r="H88" t="s">
        <v>42</v>
      </c>
      <c r="I88">
        <v>3</v>
      </c>
      <c r="J88" t="s">
        <v>17</v>
      </c>
    </row>
    <row r="89" spans="1:10" x14ac:dyDescent="0.2">
      <c r="A89" t="s">
        <v>295</v>
      </c>
      <c r="B89" t="s">
        <v>296</v>
      </c>
      <c r="C89" t="s">
        <v>31</v>
      </c>
      <c r="D89" t="s">
        <v>54</v>
      </c>
      <c r="E89" t="s">
        <v>26</v>
      </c>
      <c r="F89" t="s">
        <v>297</v>
      </c>
      <c r="G89">
        <v>97386</v>
      </c>
      <c r="H89" t="s">
        <v>33</v>
      </c>
      <c r="I89">
        <v>1</v>
      </c>
      <c r="J89" t="s">
        <v>51</v>
      </c>
    </row>
    <row r="90" spans="1:10" x14ac:dyDescent="0.2">
      <c r="A90" t="s">
        <v>298</v>
      </c>
      <c r="B90" t="s">
        <v>299</v>
      </c>
      <c r="C90" t="s">
        <v>80</v>
      </c>
      <c r="D90" t="s">
        <v>63</v>
      </c>
      <c r="E90" t="s">
        <v>46</v>
      </c>
      <c r="F90" t="s">
        <v>300</v>
      </c>
      <c r="G90">
        <v>43053</v>
      </c>
      <c r="H90" t="s">
        <v>37</v>
      </c>
      <c r="I90">
        <v>7</v>
      </c>
      <c r="J90" t="s">
        <v>38</v>
      </c>
    </row>
    <row r="91" spans="1:10" x14ac:dyDescent="0.2">
      <c r="A91" t="s">
        <v>301</v>
      </c>
      <c r="B91" t="s">
        <v>302</v>
      </c>
      <c r="C91" t="s">
        <v>25</v>
      </c>
      <c r="D91" t="s">
        <v>13</v>
      </c>
      <c r="E91" t="s">
        <v>46</v>
      </c>
      <c r="F91" t="s">
        <v>303</v>
      </c>
      <c r="G91">
        <v>110323</v>
      </c>
      <c r="H91" t="s">
        <v>28</v>
      </c>
      <c r="I91">
        <v>7</v>
      </c>
      <c r="J91" t="s">
        <v>38</v>
      </c>
    </row>
    <row r="92" spans="1:10" x14ac:dyDescent="0.2">
      <c r="A92" t="s">
        <v>304</v>
      </c>
      <c r="B92" t="s">
        <v>305</v>
      </c>
      <c r="C92" t="s">
        <v>25</v>
      </c>
      <c r="D92" t="s">
        <v>20</v>
      </c>
      <c r="E92" t="s">
        <v>46</v>
      </c>
      <c r="F92" t="s">
        <v>306</v>
      </c>
      <c r="G92">
        <v>59894</v>
      </c>
      <c r="H92" t="s">
        <v>37</v>
      </c>
      <c r="I92">
        <v>10</v>
      </c>
      <c r="J92" t="s">
        <v>38</v>
      </c>
    </row>
    <row r="93" spans="1:10" x14ac:dyDescent="0.2">
      <c r="A93" t="s">
        <v>307</v>
      </c>
      <c r="B93" t="s">
        <v>308</v>
      </c>
      <c r="C93" t="s">
        <v>45</v>
      </c>
      <c r="D93" t="s">
        <v>20</v>
      </c>
      <c r="E93" t="s">
        <v>26</v>
      </c>
      <c r="F93" t="s">
        <v>309</v>
      </c>
      <c r="G93">
        <v>31705</v>
      </c>
      <c r="H93" t="s">
        <v>16</v>
      </c>
      <c r="I93">
        <v>5</v>
      </c>
      <c r="J93" t="s">
        <v>38</v>
      </c>
    </row>
    <row r="94" spans="1:10" x14ac:dyDescent="0.2">
      <c r="A94" t="s">
        <v>310</v>
      </c>
      <c r="B94" t="s">
        <v>311</v>
      </c>
      <c r="C94" t="s">
        <v>31</v>
      </c>
      <c r="D94" t="s">
        <v>20</v>
      </c>
      <c r="E94" t="s">
        <v>14</v>
      </c>
      <c r="F94" t="s">
        <v>312</v>
      </c>
      <c r="G94">
        <v>88587</v>
      </c>
      <c r="H94" t="s">
        <v>28</v>
      </c>
      <c r="I94">
        <v>4</v>
      </c>
      <c r="J94" t="s">
        <v>17</v>
      </c>
    </row>
    <row r="95" spans="1:10" x14ac:dyDescent="0.2">
      <c r="A95" t="s">
        <v>313</v>
      </c>
      <c r="B95" t="s">
        <v>314</v>
      </c>
      <c r="C95" t="s">
        <v>80</v>
      </c>
      <c r="D95" t="s">
        <v>20</v>
      </c>
      <c r="E95" t="s">
        <v>26</v>
      </c>
      <c r="F95" t="s">
        <v>315</v>
      </c>
      <c r="G95">
        <v>74459</v>
      </c>
      <c r="H95" t="s">
        <v>42</v>
      </c>
      <c r="I95">
        <v>3</v>
      </c>
      <c r="J95" t="s">
        <v>38</v>
      </c>
    </row>
    <row r="96" spans="1:10" x14ac:dyDescent="0.2">
      <c r="A96" t="s">
        <v>316</v>
      </c>
      <c r="B96" t="s">
        <v>317</v>
      </c>
      <c r="C96" t="s">
        <v>58</v>
      </c>
      <c r="D96" t="s">
        <v>20</v>
      </c>
      <c r="E96" t="s">
        <v>46</v>
      </c>
      <c r="F96" t="s">
        <v>318</v>
      </c>
      <c r="G96">
        <v>44717</v>
      </c>
      <c r="H96" t="s">
        <v>77</v>
      </c>
      <c r="I96">
        <v>2</v>
      </c>
      <c r="J96" t="s">
        <v>38</v>
      </c>
    </row>
    <row r="97" spans="1:10" x14ac:dyDescent="0.2">
      <c r="A97" t="s">
        <v>319</v>
      </c>
      <c r="B97" t="s">
        <v>320</v>
      </c>
      <c r="C97" t="s">
        <v>80</v>
      </c>
      <c r="D97" t="s">
        <v>54</v>
      </c>
      <c r="E97" t="s">
        <v>14</v>
      </c>
      <c r="F97" t="s">
        <v>321</v>
      </c>
      <c r="G97">
        <v>51065</v>
      </c>
      <c r="H97" t="s">
        <v>33</v>
      </c>
      <c r="I97">
        <v>4</v>
      </c>
      <c r="J97" t="s">
        <v>17</v>
      </c>
    </row>
    <row r="98" spans="1:10" x14ac:dyDescent="0.2">
      <c r="A98" t="s">
        <v>322</v>
      </c>
      <c r="B98" t="s">
        <v>323</v>
      </c>
      <c r="C98" t="s">
        <v>25</v>
      </c>
      <c r="D98" t="s">
        <v>20</v>
      </c>
      <c r="E98" t="s">
        <v>46</v>
      </c>
      <c r="F98" t="s">
        <v>156</v>
      </c>
      <c r="G98">
        <v>66377</v>
      </c>
      <c r="H98" t="s">
        <v>28</v>
      </c>
      <c r="I98">
        <v>2</v>
      </c>
      <c r="J98" t="s">
        <v>51</v>
      </c>
    </row>
    <row r="99" spans="1:10" x14ac:dyDescent="0.2">
      <c r="A99" t="s">
        <v>324</v>
      </c>
      <c r="B99" t="s">
        <v>325</v>
      </c>
      <c r="C99" t="s">
        <v>25</v>
      </c>
      <c r="D99" t="s">
        <v>13</v>
      </c>
      <c r="E99" t="s">
        <v>46</v>
      </c>
      <c r="F99" t="s">
        <v>326</v>
      </c>
      <c r="G99">
        <v>101540</v>
      </c>
      <c r="H99" t="s">
        <v>42</v>
      </c>
      <c r="I99">
        <v>2</v>
      </c>
      <c r="J99" t="s">
        <v>17</v>
      </c>
    </row>
    <row r="100" spans="1:10" x14ac:dyDescent="0.2">
      <c r="A100" t="s">
        <v>327</v>
      </c>
      <c r="B100" t="s">
        <v>328</v>
      </c>
      <c r="C100" t="s">
        <v>25</v>
      </c>
      <c r="D100" t="s">
        <v>63</v>
      </c>
      <c r="E100" t="s">
        <v>46</v>
      </c>
      <c r="F100" t="s">
        <v>329</v>
      </c>
      <c r="G100">
        <v>36366</v>
      </c>
      <c r="H100" t="s">
        <v>28</v>
      </c>
      <c r="I100">
        <v>8</v>
      </c>
      <c r="J100" t="s">
        <v>38</v>
      </c>
    </row>
    <row r="101" spans="1:10" x14ac:dyDescent="0.2">
      <c r="A101" t="s">
        <v>330</v>
      </c>
      <c r="B101" t="s">
        <v>331</v>
      </c>
      <c r="C101" t="s">
        <v>31</v>
      </c>
      <c r="D101" t="s">
        <v>54</v>
      </c>
      <c r="E101" t="s">
        <v>14</v>
      </c>
      <c r="F101" t="s">
        <v>332</v>
      </c>
      <c r="G101">
        <v>83752</v>
      </c>
      <c r="H101" t="s">
        <v>16</v>
      </c>
      <c r="I101">
        <v>10</v>
      </c>
      <c r="J101" t="s">
        <v>38</v>
      </c>
    </row>
    <row r="102" spans="1:10" x14ac:dyDescent="0.2">
      <c r="A102" t="s">
        <v>333</v>
      </c>
      <c r="B102" t="s">
        <v>334</v>
      </c>
      <c r="C102" t="s">
        <v>45</v>
      </c>
      <c r="D102" t="s">
        <v>59</v>
      </c>
      <c r="E102" t="s">
        <v>46</v>
      </c>
      <c r="F102" t="s">
        <v>335</v>
      </c>
      <c r="G102">
        <v>67767</v>
      </c>
      <c r="H102" t="s">
        <v>42</v>
      </c>
      <c r="I102">
        <v>10</v>
      </c>
      <c r="J102" t="s">
        <v>51</v>
      </c>
    </row>
    <row r="103" spans="1:10" x14ac:dyDescent="0.2">
      <c r="A103" t="s">
        <v>336</v>
      </c>
      <c r="B103" t="s">
        <v>337</v>
      </c>
      <c r="C103" t="s">
        <v>12</v>
      </c>
      <c r="D103" t="s">
        <v>13</v>
      </c>
      <c r="E103" t="s">
        <v>14</v>
      </c>
      <c r="F103" t="s">
        <v>338</v>
      </c>
      <c r="G103">
        <v>75412</v>
      </c>
      <c r="H103" t="s">
        <v>22</v>
      </c>
      <c r="I103">
        <v>9</v>
      </c>
      <c r="J103" t="s">
        <v>17</v>
      </c>
    </row>
    <row r="104" spans="1:10" x14ac:dyDescent="0.2">
      <c r="A104" t="s">
        <v>339</v>
      </c>
      <c r="B104" t="s">
        <v>340</v>
      </c>
      <c r="C104" t="s">
        <v>45</v>
      </c>
      <c r="D104" t="s">
        <v>13</v>
      </c>
      <c r="E104" t="s">
        <v>46</v>
      </c>
      <c r="F104" t="s">
        <v>341</v>
      </c>
      <c r="G104">
        <v>51628</v>
      </c>
      <c r="H104" t="s">
        <v>37</v>
      </c>
      <c r="I104">
        <v>1</v>
      </c>
      <c r="J104" t="s">
        <v>17</v>
      </c>
    </row>
    <row r="105" spans="1:10" x14ac:dyDescent="0.2">
      <c r="A105" t="s">
        <v>342</v>
      </c>
      <c r="B105" t="s">
        <v>343</v>
      </c>
      <c r="C105" t="s">
        <v>80</v>
      </c>
      <c r="D105" t="s">
        <v>13</v>
      </c>
      <c r="E105" t="s">
        <v>14</v>
      </c>
      <c r="F105" t="s">
        <v>344</v>
      </c>
      <c r="G105">
        <v>55756</v>
      </c>
      <c r="H105" t="s">
        <v>37</v>
      </c>
      <c r="I105">
        <v>5</v>
      </c>
      <c r="J105" t="s">
        <v>38</v>
      </c>
    </row>
    <row r="106" spans="1:10" x14ac:dyDescent="0.2">
      <c r="A106" t="s">
        <v>345</v>
      </c>
      <c r="B106" t="s">
        <v>346</v>
      </c>
      <c r="C106" t="s">
        <v>31</v>
      </c>
      <c r="D106" t="s">
        <v>63</v>
      </c>
      <c r="E106" t="s">
        <v>26</v>
      </c>
      <c r="F106" t="s">
        <v>347</v>
      </c>
      <c r="G106">
        <v>101512</v>
      </c>
      <c r="H106" t="s">
        <v>33</v>
      </c>
      <c r="I106">
        <v>6</v>
      </c>
      <c r="J106" t="s">
        <v>38</v>
      </c>
    </row>
    <row r="107" spans="1:10" x14ac:dyDescent="0.2">
      <c r="A107" t="s">
        <v>348</v>
      </c>
      <c r="B107" t="s">
        <v>349</v>
      </c>
      <c r="C107" t="s">
        <v>80</v>
      </c>
      <c r="D107" t="s">
        <v>63</v>
      </c>
      <c r="E107" t="s">
        <v>14</v>
      </c>
      <c r="F107" t="s">
        <v>350</v>
      </c>
      <c r="G107">
        <v>49560</v>
      </c>
      <c r="H107" t="s">
        <v>37</v>
      </c>
      <c r="I107">
        <v>1</v>
      </c>
      <c r="J107" t="s">
        <v>51</v>
      </c>
    </row>
    <row r="108" spans="1:10" x14ac:dyDescent="0.2">
      <c r="A108" t="s">
        <v>351</v>
      </c>
      <c r="B108" t="s">
        <v>352</v>
      </c>
      <c r="C108" t="s">
        <v>12</v>
      </c>
      <c r="D108" t="s">
        <v>13</v>
      </c>
      <c r="E108" t="s">
        <v>26</v>
      </c>
      <c r="F108" t="s">
        <v>353</v>
      </c>
      <c r="G108">
        <v>44481</v>
      </c>
      <c r="H108" t="s">
        <v>42</v>
      </c>
      <c r="I108">
        <v>5</v>
      </c>
      <c r="J108" t="s">
        <v>51</v>
      </c>
    </row>
    <row r="109" spans="1:10" x14ac:dyDescent="0.2">
      <c r="A109" t="s">
        <v>354</v>
      </c>
      <c r="B109" t="s">
        <v>355</v>
      </c>
      <c r="C109" t="s">
        <v>45</v>
      </c>
      <c r="D109" t="s">
        <v>63</v>
      </c>
      <c r="E109" t="s">
        <v>46</v>
      </c>
      <c r="F109" t="s">
        <v>356</v>
      </c>
      <c r="G109">
        <v>104552</v>
      </c>
      <c r="H109" t="s">
        <v>22</v>
      </c>
      <c r="I109">
        <v>6</v>
      </c>
      <c r="J109" t="s">
        <v>17</v>
      </c>
    </row>
    <row r="110" spans="1:10" x14ac:dyDescent="0.2">
      <c r="A110" t="s">
        <v>357</v>
      </c>
      <c r="B110" t="s">
        <v>358</v>
      </c>
      <c r="C110" t="s">
        <v>31</v>
      </c>
      <c r="D110" t="s">
        <v>63</v>
      </c>
      <c r="E110" t="s">
        <v>46</v>
      </c>
      <c r="F110" t="s">
        <v>359</v>
      </c>
      <c r="G110">
        <v>102581</v>
      </c>
      <c r="H110" t="s">
        <v>33</v>
      </c>
      <c r="I110">
        <v>2</v>
      </c>
      <c r="J110" t="s">
        <v>17</v>
      </c>
    </row>
    <row r="111" spans="1:10" x14ac:dyDescent="0.2">
      <c r="A111" t="s">
        <v>360</v>
      </c>
      <c r="B111" t="s">
        <v>361</v>
      </c>
      <c r="C111" t="s">
        <v>12</v>
      </c>
      <c r="D111" t="s">
        <v>63</v>
      </c>
      <c r="E111" t="s">
        <v>14</v>
      </c>
      <c r="F111" t="s">
        <v>362</v>
      </c>
      <c r="G111">
        <v>39459</v>
      </c>
      <c r="H111" t="s">
        <v>33</v>
      </c>
      <c r="I111">
        <v>3</v>
      </c>
      <c r="J111" t="s">
        <v>17</v>
      </c>
    </row>
    <row r="112" spans="1:10" x14ac:dyDescent="0.2">
      <c r="A112" t="s">
        <v>363</v>
      </c>
      <c r="B112" t="s">
        <v>364</v>
      </c>
      <c r="C112" t="s">
        <v>80</v>
      </c>
      <c r="D112" t="s">
        <v>20</v>
      </c>
      <c r="E112" t="s">
        <v>26</v>
      </c>
      <c r="F112" t="s">
        <v>365</v>
      </c>
      <c r="G112">
        <v>45314</v>
      </c>
      <c r="H112" t="s">
        <v>28</v>
      </c>
      <c r="I112">
        <v>0</v>
      </c>
      <c r="J112" t="s">
        <v>17</v>
      </c>
    </row>
    <row r="113" spans="1:10" x14ac:dyDescent="0.2">
      <c r="A113" t="s">
        <v>366</v>
      </c>
      <c r="B113" t="s">
        <v>367</v>
      </c>
      <c r="C113" t="s">
        <v>80</v>
      </c>
      <c r="D113" t="s">
        <v>59</v>
      </c>
      <c r="E113" t="s">
        <v>14</v>
      </c>
      <c r="F113" t="s">
        <v>368</v>
      </c>
      <c r="G113">
        <v>49953</v>
      </c>
      <c r="H113" t="s">
        <v>42</v>
      </c>
      <c r="I113">
        <v>0</v>
      </c>
      <c r="J113" t="s">
        <v>51</v>
      </c>
    </row>
    <row r="114" spans="1:10" x14ac:dyDescent="0.2">
      <c r="A114" t="s">
        <v>369</v>
      </c>
      <c r="B114" t="s">
        <v>370</v>
      </c>
      <c r="C114" t="s">
        <v>45</v>
      </c>
      <c r="D114" t="s">
        <v>13</v>
      </c>
      <c r="E114" t="s">
        <v>14</v>
      </c>
      <c r="F114" t="s">
        <v>371</v>
      </c>
      <c r="G114">
        <v>97354</v>
      </c>
      <c r="H114" t="s">
        <v>16</v>
      </c>
      <c r="I114">
        <v>9</v>
      </c>
      <c r="J114" t="s">
        <v>38</v>
      </c>
    </row>
    <row r="115" spans="1:10" x14ac:dyDescent="0.2">
      <c r="A115" t="s">
        <v>372</v>
      </c>
      <c r="B115" t="s">
        <v>373</v>
      </c>
      <c r="C115" t="s">
        <v>58</v>
      </c>
      <c r="D115" t="s">
        <v>59</v>
      </c>
      <c r="E115" t="s">
        <v>14</v>
      </c>
      <c r="F115" t="s">
        <v>374</v>
      </c>
      <c r="G115">
        <v>86850</v>
      </c>
      <c r="H115" t="s">
        <v>77</v>
      </c>
      <c r="I115">
        <v>9</v>
      </c>
      <c r="J115" t="s">
        <v>17</v>
      </c>
    </row>
    <row r="116" spans="1:10" x14ac:dyDescent="0.2">
      <c r="A116" t="s">
        <v>375</v>
      </c>
      <c r="B116" t="s">
        <v>376</v>
      </c>
      <c r="C116" t="s">
        <v>31</v>
      </c>
      <c r="D116" t="s">
        <v>13</v>
      </c>
      <c r="E116" t="s">
        <v>14</v>
      </c>
      <c r="F116" t="s">
        <v>377</v>
      </c>
      <c r="G116">
        <v>93605</v>
      </c>
      <c r="H116" t="s">
        <v>33</v>
      </c>
      <c r="I116">
        <v>10</v>
      </c>
      <c r="J116" t="s">
        <v>51</v>
      </c>
    </row>
    <row r="117" spans="1:10" x14ac:dyDescent="0.2">
      <c r="A117" t="s">
        <v>378</v>
      </c>
      <c r="B117" t="s">
        <v>379</v>
      </c>
      <c r="C117" t="s">
        <v>31</v>
      </c>
      <c r="D117" t="s">
        <v>63</v>
      </c>
      <c r="E117" t="s">
        <v>26</v>
      </c>
      <c r="F117" t="s">
        <v>380</v>
      </c>
      <c r="G117">
        <v>33553</v>
      </c>
      <c r="H117" t="s">
        <v>22</v>
      </c>
      <c r="I117">
        <v>1</v>
      </c>
      <c r="J117" t="s">
        <v>38</v>
      </c>
    </row>
    <row r="118" spans="1:10" x14ac:dyDescent="0.2">
      <c r="A118" t="s">
        <v>381</v>
      </c>
      <c r="B118" t="s">
        <v>382</v>
      </c>
      <c r="C118" t="s">
        <v>58</v>
      </c>
      <c r="D118" t="s">
        <v>13</v>
      </c>
      <c r="E118" t="s">
        <v>14</v>
      </c>
      <c r="F118" t="s">
        <v>383</v>
      </c>
      <c r="G118">
        <v>49470</v>
      </c>
      <c r="H118" t="s">
        <v>42</v>
      </c>
      <c r="I118">
        <v>2</v>
      </c>
      <c r="J118" t="s">
        <v>17</v>
      </c>
    </row>
    <row r="119" spans="1:10" x14ac:dyDescent="0.2">
      <c r="A119" t="s">
        <v>384</v>
      </c>
      <c r="B119" t="s">
        <v>385</v>
      </c>
      <c r="C119" t="s">
        <v>25</v>
      </c>
      <c r="D119" t="s">
        <v>54</v>
      </c>
      <c r="E119" t="s">
        <v>14</v>
      </c>
      <c r="F119" t="s">
        <v>386</v>
      </c>
      <c r="G119">
        <v>110802</v>
      </c>
      <c r="H119" t="s">
        <v>28</v>
      </c>
      <c r="I119">
        <v>0</v>
      </c>
      <c r="J119" t="s">
        <v>51</v>
      </c>
    </row>
    <row r="120" spans="1:10" x14ac:dyDescent="0.2">
      <c r="A120" t="s">
        <v>387</v>
      </c>
      <c r="B120" t="s">
        <v>388</v>
      </c>
      <c r="C120" t="s">
        <v>80</v>
      </c>
      <c r="D120" t="s">
        <v>54</v>
      </c>
      <c r="E120" t="s">
        <v>46</v>
      </c>
      <c r="F120" t="s">
        <v>389</v>
      </c>
      <c r="G120">
        <v>111977</v>
      </c>
      <c r="H120" t="s">
        <v>77</v>
      </c>
      <c r="I120">
        <v>8</v>
      </c>
      <c r="J120" t="s">
        <v>38</v>
      </c>
    </row>
    <row r="121" spans="1:10" x14ac:dyDescent="0.2">
      <c r="A121" t="s">
        <v>390</v>
      </c>
      <c r="B121" t="s">
        <v>391</v>
      </c>
      <c r="C121" t="s">
        <v>12</v>
      </c>
      <c r="D121" t="s">
        <v>13</v>
      </c>
      <c r="E121" t="s">
        <v>46</v>
      </c>
      <c r="F121" t="s">
        <v>392</v>
      </c>
      <c r="G121">
        <v>70749</v>
      </c>
      <c r="H121" t="s">
        <v>37</v>
      </c>
      <c r="I121">
        <v>3</v>
      </c>
      <c r="J121" t="s">
        <v>51</v>
      </c>
    </row>
    <row r="122" spans="1:10" x14ac:dyDescent="0.2">
      <c r="A122" t="s">
        <v>393</v>
      </c>
      <c r="B122" t="s">
        <v>394</v>
      </c>
      <c r="C122" t="s">
        <v>80</v>
      </c>
      <c r="D122" t="s">
        <v>13</v>
      </c>
      <c r="E122" t="s">
        <v>46</v>
      </c>
      <c r="F122" t="s">
        <v>395</v>
      </c>
      <c r="G122">
        <v>72975</v>
      </c>
      <c r="H122" t="s">
        <v>77</v>
      </c>
      <c r="I122">
        <v>7</v>
      </c>
      <c r="J122" t="s">
        <v>17</v>
      </c>
    </row>
    <row r="123" spans="1:10" x14ac:dyDescent="0.2">
      <c r="A123" t="s">
        <v>396</v>
      </c>
      <c r="B123" t="s">
        <v>397</v>
      </c>
      <c r="C123" t="s">
        <v>80</v>
      </c>
      <c r="D123" t="s">
        <v>63</v>
      </c>
      <c r="E123" t="s">
        <v>26</v>
      </c>
      <c r="F123" t="s">
        <v>398</v>
      </c>
      <c r="G123">
        <v>101950</v>
      </c>
      <c r="H123" t="s">
        <v>22</v>
      </c>
      <c r="I123">
        <v>10</v>
      </c>
      <c r="J123" t="s">
        <v>38</v>
      </c>
    </row>
    <row r="124" spans="1:10" x14ac:dyDescent="0.2">
      <c r="A124" t="s">
        <v>399</v>
      </c>
      <c r="B124" t="s">
        <v>400</v>
      </c>
      <c r="C124" t="s">
        <v>25</v>
      </c>
      <c r="D124" t="s">
        <v>20</v>
      </c>
      <c r="E124" t="s">
        <v>26</v>
      </c>
      <c r="F124" t="s">
        <v>401</v>
      </c>
      <c r="G124">
        <v>115135</v>
      </c>
      <c r="H124" t="s">
        <v>28</v>
      </c>
      <c r="I124">
        <v>4</v>
      </c>
      <c r="J124" t="s">
        <v>51</v>
      </c>
    </row>
    <row r="125" spans="1:10" x14ac:dyDescent="0.2">
      <c r="A125" t="s">
        <v>402</v>
      </c>
      <c r="B125" t="s">
        <v>403</v>
      </c>
      <c r="C125" t="s">
        <v>12</v>
      </c>
      <c r="D125" t="s">
        <v>63</v>
      </c>
      <c r="E125" t="s">
        <v>26</v>
      </c>
      <c r="F125" t="s">
        <v>189</v>
      </c>
      <c r="G125">
        <v>80756</v>
      </c>
      <c r="H125" t="s">
        <v>37</v>
      </c>
      <c r="I125">
        <v>2</v>
      </c>
      <c r="J125" t="s">
        <v>38</v>
      </c>
    </row>
    <row r="126" spans="1:10" x14ac:dyDescent="0.2">
      <c r="A126" t="s">
        <v>404</v>
      </c>
      <c r="B126" t="s">
        <v>405</v>
      </c>
      <c r="C126" t="s">
        <v>25</v>
      </c>
      <c r="D126" t="s">
        <v>63</v>
      </c>
      <c r="E126" t="s">
        <v>14</v>
      </c>
      <c r="F126" t="s">
        <v>406</v>
      </c>
      <c r="G126">
        <v>33231</v>
      </c>
      <c r="H126" t="s">
        <v>77</v>
      </c>
      <c r="I126">
        <v>6</v>
      </c>
      <c r="J126" t="s">
        <v>51</v>
      </c>
    </row>
    <row r="127" spans="1:10" x14ac:dyDescent="0.2">
      <c r="A127" t="s">
        <v>407</v>
      </c>
      <c r="B127" t="s">
        <v>408</v>
      </c>
      <c r="C127" t="s">
        <v>58</v>
      </c>
      <c r="D127" t="s">
        <v>63</v>
      </c>
      <c r="E127" t="s">
        <v>46</v>
      </c>
      <c r="F127" t="s">
        <v>409</v>
      </c>
      <c r="G127">
        <v>73871</v>
      </c>
      <c r="H127" t="s">
        <v>77</v>
      </c>
      <c r="I127">
        <v>1</v>
      </c>
      <c r="J127" t="s">
        <v>51</v>
      </c>
    </row>
    <row r="128" spans="1:10" x14ac:dyDescent="0.2">
      <c r="A128" t="s">
        <v>410</v>
      </c>
      <c r="B128" t="s">
        <v>411</v>
      </c>
      <c r="C128" t="s">
        <v>25</v>
      </c>
      <c r="D128" t="s">
        <v>63</v>
      </c>
      <c r="E128" t="s">
        <v>14</v>
      </c>
      <c r="F128" t="s">
        <v>412</v>
      </c>
      <c r="G128">
        <v>54278</v>
      </c>
      <c r="H128" t="s">
        <v>16</v>
      </c>
      <c r="I128">
        <v>0</v>
      </c>
      <c r="J128" t="s">
        <v>17</v>
      </c>
    </row>
    <row r="129" spans="1:10" x14ac:dyDescent="0.2">
      <c r="A129" t="s">
        <v>413</v>
      </c>
      <c r="B129" t="s">
        <v>414</v>
      </c>
      <c r="C129" t="s">
        <v>45</v>
      </c>
      <c r="D129" t="s">
        <v>13</v>
      </c>
      <c r="E129" t="s">
        <v>14</v>
      </c>
      <c r="F129" t="s">
        <v>415</v>
      </c>
      <c r="G129">
        <v>60792</v>
      </c>
      <c r="H129" t="s">
        <v>77</v>
      </c>
      <c r="I129">
        <v>4</v>
      </c>
      <c r="J129" t="s">
        <v>17</v>
      </c>
    </row>
    <row r="130" spans="1:10" x14ac:dyDescent="0.2">
      <c r="A130" t="s">
        <v>416</v>
      </c>
      <c r="B130" t="s">
        <v>417</v>
      </c>
      <c r="C130" t="s">
        <v>45</v>
      </c>
      <c r="D130" t="s">
        <v>20</v>
      </c>
      <c r="E130" t="s">
        <v>26</v>
      </c>
      <c r="F130" t="s">
        <v>418</v>
      </c>
      <c r="G130">
        <v>38727</v>
      </c>
      <c r="H130" t="s">
        <v>22</v>
      </c>
      <c r="I130">
        <v>5</v>
      </c>
      <c r="J130" t="s">
        <v>17</v>
      </c>
    </row>
    <row r="131" spans="1:10" x14ac:dyDescent="0.2">
      <c r="A131" t="s">
        <v>419</v>
      </c>
      <c r="B131" t="s">
        <v>420</v>
      </c>
      <c r="C131" t="s">
        <v>31</v>
      </c>
      <c r="D131" t="s">
        <v>13</v>
      </c>
      <c r="E131" t="s">
        <v>46</v>
      </c>
      <c r="F131" t="s">
        <v>421</v>
      </c>
      <c r="G131">
        <v>84291</v>
      </c>
      <c r="H131" t="s">
        <v>77</v>
      </c>
      <c r="I131">
        <v>1</v>
      </c>
      <c r="J131" t="s">
        <v>17</v>
      </c>
    </row>
    <row r="132" spans="1:10" x14ac:dyDescent="0.2">
      <c r="A132" t="s">
        <v>422</v>
      </c>
      <c r="B132" t="s">
        <v>423</v>
      </c>
      <c r="C132" t="s">
        <v>58</v>
      </c>
      <c r="D132" t="s">
        <v>59</v>
      </c>
      <c r="E132" t="s">
        <v>46</v>
      </c>
      <c r="F132" t="s">
        <v>424</v>
      </c>
      <c r="G132">
        <v>70800</v>
      </c>
      <c r="H132" t="s">
        <v>28</v>
      </c>
      <c r="I132">
        <v>7</v>
      </c>
      <c r="J132" t="s">
        <v>51</v>
      </c>
    </row>
    <row r="133" spans="1:10" x14ac:dyDescent="0.2">
      <c r="A133" t="s">
        <v>425</v>
      </c>
      <c r="B133" t="s">
        <v>426</v>
      </c>
      <c r="C133" t="s">
        <v>58</v>
      </c>
      <c r="D133" t="s">
        <v>59</v>
      </c>
      <c r="E133" t="s">
        <v>26</v>
      </c>
      <c r="F133" t="s">
        <v>427</v>
      </c>
      <c r="G133">
        <v>40355</v>
      </c>
      <c r="H133" t="s">
        <v>77</v>
      </c>
      <c r="I133">
        <v>5</v>
      </c>
      <c r="J133" t="s">
        <v>38</v>
      </c>
    </row>
    <row r="134" spans="1:10" x14ac:dyDescent="0.2">
      <c r="A134" t="s">
        <v>428</v>
      </c>
      <c r="B134" t="s">
        <v>429</v>
      </c>
      <c r="C134" t="s">
        <v>25</v>
      </c>
      <c r="D134" t="s">
        <v>20</v>
      </c>
      <c r="E134" t="s">
        <v>46</v>
      </c>
      <c r="F134" t="s">
        <v>430</v>
      </c>
      <c r="G134">
        <v>57525</v>
      </c>
      <c r="H134" t="s">
        <v>16</v>
      </c>
      <c r="I134">
        <v>5</v>
      </c>
      <c r="J134" t="s">
        <v>17</v>
      </c>
    </row>
    <row r="135" spans="1:10" x14ac:dyDescent="0.2">
      <c r="A135" t="s">
        <v>431</v>
      </c>
      <c r="B135" t="s">
        <v>432</v>
      </c>
      <c r="C135" t="s">
        <v>12</v>
      </c>
      <c r="D135" t="s">
        <v>63</v>
      </c>
      <c r="E135" t="s">
        <v>46</v>
      </c>
      <c r="F135" t="s">
        <v>433</v>
      </c>
      <c r="G135">
        <v>118962</v>
      </c>
      <c r="H135" t="s">
        <v>16</v>
      </c>
      <c r="I135">
        <v>1</v>
      </c>
      <c r="J135" t="s">
        <v>51</v>
      </c>
    </row>
    <row r="136" spans="1:10" x14ac:dyDescent="0.2">
      <c r="A136" t="s">
        <v>434</v>
      </c>
      <c r="B136" t="s">
        <v>435</v>
      </c>
      <c r="C136" t="s">
        <v>45</v>
      </c>
      <c r="D136" t="s">
        <v>13</v>
      </c>
      <c r="E136" t="s">
        <v>26</v>
      </c>
      <c r="F136" t="s">
        <v>436</v>
      </c>
      <c r="G136">
        <v>57349</v>
      </c>
      <c r="H136" t="s">
        <v>22</v>
      </c>
      <c r="I136">
        <v>5</v>
      </c>
      <c r="J136" t="s">
        <v>38</v>
      </c>
    </row>
    <row r="137" spans="1:10" x14ac:dyDescent="0.2">
      <c r="A137" t="s">
        <v>437</v>
      </c>
      <c r="B137" t="s">
        <v>438</v>
      </c>
      <c r="C137" t="s">
        <v>12</v>
      </c>
      <c r="D137" t="s">
        <v>13</v>
      </c>
      <c r="E137" t="s">
        <v>14</v>
      </c>
      <c r="F137" t="s">
        <v>439</v>
      </c>
      <c r="G137">
        <v>61115</v>
      </c>
      <c r="H137" t="s">
        <v>28</v>
      </c>
      <c r="I137">
        <v>10</v>
      </c>
      <c r="J137" t="s">
        <v>17</v>
      </c>
    </row>
    <row r="138" spans="1:10" x14ac:dyDescent="0.2">
      <c r="A138" t="s">
        <v>440</v>
      </c>
      <c r="B138" t="s">
        <v>441</v>
      </c>
      <c r="C138" t="s">
        <v>80</v>
      </c>
      <c r="D138" t="s">
        <v>54</v>
      </c>
      <c r="E138" t="s">
        <v>26</v>
      </c>
      <c r="F138" t="s">
        <v>442</v>
      </c>
      <c r="G138">
        <v>98292</v>
      </c>
      <c r="H138" t="s">
        <v>37</v>
      </c>
      <c r="I138">
        <v>1</v>
      </c>
      <c r="J138" t="s">
        <v>51</v>
      </c>
    </row>
    <row r="139" spans="1:10" x14ac:dyDescent="0.2">
      <c r="A139" t="s">
        <v>443</v>
      </c>
      <c r="B139" t="s">
        <v>444</v>
      </c>
      <c r="C139" t="s">
        <v>80</v>
      </c>
      <c r="D139" t="s">
        <v>59</v>
      </c>
      <c r="E139" t="s">
        <v>26</v>
      </c>
      <c r="F139" t="s">
        <v>445</v>
      </c>
      <c r="G139">
        <v>61256</v>
      </c>
      <c r="H139" t="s">
        <v>77</v>
      </c>
      <c r="I139">
        <v>4</v>
      </c>
      <c r="J139" t="s">
        <v>51</v>
      </c>
    </row>
    <row r="140" spans="1:10" x14ac:dyDescent="0.2">
      <c r="A140" t="s">
        <v>446</v>
      </c>
      <c r="B140" t="s">
        <v>447</v>
      </c>
      <c r="C140" t="s">
        <v>80</v>
      </c>
      <c r="D140" t="s">
        <v>63</v>
      </c>
      <c r="E140" t="s">
        <v>26</v>
      </c>
      <c r="F140" t="s">
        <v>448</v>
      </c>
      <c r="G140">
        <v>94275</v>
      </c>
      <c r="H140" t="s">
        <v>37</v>
      </c>
      <c r="I140">
        <v>1</v>
      </c>
      <c r="J140" t="s">
        <v>51</v>
      </c>
    </row>
    <row r="141" spans="1:10" x14ac:dyDescent="0.2">
      <c r="A141" t="s">
        <v>449</v>
      </c>
      <c r="B141" t="s">
        <v>450</v>
      </c>
      <c r="C141" t="s">
        <v>45</v>
      </c>
      <c r="D141" t="s">
        <v>63</v>
      </c>
      <c r="E141" t="s">
        <v>14</v>
      </c>
      <c r="F141" t="s">
        <v>451</v>
      </c>
      <c r="G141">
        <v>106580</v>
      </c>
      <c r="H141" t="s">
        <v>28</v>
      </c>
      <c r="I141">
        <v>7</v>
      </c>
      <c r="J141" t="s">
        <v>51</v>
      </c>
    </row>
    <row r="142" spans="1:10" x14ac:dyDescent="0.2">
      <c r="A142" t="s">
        <v>452</v>
      </c>
      <c r="B142" t="s">
        <v>453</v>
      </c>
      <c r="C142" t="s">
        <v>80</v>
      </c>
      <c r="D142" t="s">
        <v>59</v>
      </c>
      <c r="E142" t="s">
        <v>46</v>
      </c>
      <c r="F142" t="s">
        <v>454</v>
      </c>
      <c r="G142">
        <v>74106</v>
      </c>
      <c r="H142" t="s">
        <v>37</v>
      </c>
      <c r="I142">
        <v>2</v>
      </c>
      <c r="J142" t="s">
        <v>51</v>
      </c>
    </row>
    <row r="143" spans="1:10" x14ac:dyDescent="0.2">
      <c r="A143" t="s">
        <v>455</v>
      </c>
      <c r="B143" t="s">
        <v>456</v>
      </c>
      <c r="C143" t="s">
        <v>31</v>
      </c>
      <c r="D143" t="s">
        <v>59</v>
      </c>
      <c r="E143" t="s">
        <v>46</v>
      </c>
      <c r="F143" t="s">
        <v>457</v>
      </c>
      <c r="G143">
        <v>42381</v>
      </c>
      <c r="H143" t="s">
        <v>77</v>
      </c>
      <c r="I143">
        <v>2</v>
      </c>
      <c r="J143" t="s">
        <v>38</v>
      </c>
    </row>
    <row r="144" spans="1:10" x14ac:dyDescent="0.2">
      <c r="A144" t="s">
        <v>458</v>
      </c>
      <c r="B144" t="s">
        <v>459</v>
      </c>
      <c r="C144" t="s">
        <v>45</v>
      </c>
      <c r="D144" t="s">
        <v>54</v>
      </c>
      <c r="E144" t="s">
        <v>26</v>
      </c>
      <c r="F144" t="s">
        <v>246</v>
      </c>
      <c r="G144">
        <v>92908</v>
      </c>
      <c r="H144" t="s">
        <v>33</v>
      </c>
      <c r="I144">
        <v>0</v>
      </c>
      <c r="J144" t="s">
        <v>51</v>
      </c>
    </row>
    <row r="145" spans="1:10" x14ac:dyDescent="0.2">
      <c r="A145" t="s">
        <v>460</v>
      </c>
      <c r="B145" t="s">
        <v>461</v>
      </c>
      <c r="C145" t="s">
        <v>80</v>
      </c>
      <c r="D145" t="s">
        <v>59</v>
      </c>
      <c r="E145" t="s">
        <v>46</v>
      </c>
      <c r="F145" t="s">
        <v>462</v>
      </c>
      <c r="G145">
        <v>107963</v>
      </c>
      <c r="H145" t="s">
        <v>16</v>
      </c>
      <c r="I145">
        <v>3</v>
      </c>
      <c r="J145" t="s">
        <v>51</v>
      </c>
    </row>
    <row r="146" spans="1:10" x14ac:dyDescent="0.2">
      <c r="A146" t="s">
        <v>463</v>
      </c>
      <c r="B146" t="s">
        <v>464</v>
      </c>
      <c r="C146" t="s">
        <v>45</v>
      </c>
      <c r="D146" t="s">
        <v>54</v>
      </c>
      <c r="E146" t="s">
        <v>26</v>
      </c>
      <c r="F146" t="s">
        <v>465</v>
      </c>
      <c r="G146">
        <v>107214</v>
      </c>
      <c r="H146" t="s">
        <v>42</v>
      </c>
      <c r="I146">
        <v>9</v>
      </c>
      <c r="J146" t="s">
        <v>17</v>
      </c>
    </row>
    <row r="147" spans="1:10" x14ac:dyDescent="0.2">
      <c r="A147" t="s">
        <v>466</v>
      </c>
      <c r="B147" t="s">
        <v>467</v>
      </c>
      <c r="C147" t="s">
        <v>31</v>
      </c>
      <c r="D147" t="s">
        <v>20</v>
      </c>
      <c r="E147" t="s">
        <v>26</v>
      </c>
      <c r="F147" t="s">
        <v>468</v>
      </c>
      <c r="G147">
        <v>31032</v>
      </c>
      <c r="H147" t="s">
        <v>16</v>
      </c>
      <c r="I147">
        <v>7</v>
      </c>
      <c r="J147" t="s">
        <v>17</v>
      </c>
    </row>
    <row r="148" spans="1:10" x14ac:dyDescent="0.2">
      <c r="A148" t="s">
        <v>469</v>
      </c>
      <c r="B148" t="s">
        <v>470</v>
      </c>
      <c r="C148" t="s">
        <v>80</v>
      </c>
      <c r="D148" t="s">
        <v>59</v>
      </c>
      <c r="E148" t="s">
        <v>14</v>
      </c>
      <c r="F148" t="s">
        <v>471</v>
      </c>
      <c r="G148">
        <v>40153</v>
      </c>
      <c r="H148" t="s">
        <v>33</v>
      </c>
      <c r="I148">
        <v>3</v>
      </c>
      <c r="J148" t="s">
        <v>17</v>
      </c>
    </row>
    <row r="149" spans="1:10" x14ac:dyDescent="0.2">
      <c r="A149" t="s">
        <v>472</v>
      </c>
      <c r="B149" t="s">
        <v>473</v>
      </c>
      <c r="C149" t="s">
        <v>80</v>
      </c>
      <c r="D149" t="s">
        <v>54</v>
      </c>
      <c r="E149" t="s">
        <v>26</v>
      </c>
      <c r="F149" t="s">
        <v>474</v>
      </c>
      <c r="G149">
        <v>100295</v>
      </c>
      <c r="H149" t="s">
        <v>42</v>
      </c>
      <c r="I149">
        <v>3</v>
      </c>
      <c r="J149" t="s">
        <v>51</v>
      </c>
    </row>
    <row r="150" spans="1:10" x14ac:dyDescent="0.2">
      <c r="A150" t="s">
        <v>475</v>
      </c>
      <c r="B150" t="s">
        <v>476</v>
      </c>
      <c r="C150" t="s">
        <v>25</v>
      </c>
      <c r="D150" t="s">
        <v>20</v>
      </c>
      <c r="E150" t="s">
        <v>46</v>
      </c>
      <c r="F150" t="s">
        <v>477</v>
      </c>
      <c r="G150">
        <v>43848</v>
      </c>
      <c r="H150" t="s">
        <v>42</v>
      </c>
      <c r="I150">
        <v>6</v>
      </c>
      <c r="J150" t="s">
        <v>38</v>
      </c>
    </row>
    <row r="151" spans="1:10" x14ac:dyDescent="0.2">
      <c r="A151" t="s">
        <v>478</v>
      </c>
      <c r="B151" t="s">
        <v>479</v>
      </c>
      <c r="C151" t="s">
        <v>12</v>
      </c>
      <c r="D151" t="s">
        <v>59</v>
      </c>
      <c r="E151" t="s">
        <v>14</v>
      </c>
      <c r="F151" t="s">
        <v>480</v>
      </c>
      <c r="G151">
        <v>82566</v>
      </c>
      <c r="H151" t="s">
        <v>33</v>
      </c>
      <c r="I151">
        <v>5</v>
      </c>
      <c r="J151" t="s">
        <v>51</v>
      </c>
    </row>
    <row r="152" spans="1:10" x14ac:dyDescent="0.2">
      <c r="A152" t="s">
        <v>481</v>
      </c>
      <c r="B152" t="s">
        <v>482</v>
      </c>
      <c r="C152" t="s">
        <v>31</v>
      </c>
      <c r="D152" t="s">
        <v>13</v>
      </c>
      <c r="E152" t="s">
        <v>14</v>
      </c>
      <c r="F152" t="s">
        <v>483</v>
      </c>
      <c r="G152">
        <v>76359</v>
      </c>
      <c r="H152" t="s">
        <v>42</v>
      </c>
      <c r="I152">
        <v>1</v>
      </c>
      <c r="J152" t="s">
        <v>38</v>
      </c>
    </row>
    <row r="153" spans="1:10" x14ac:dyDescent="0.2">
      <c r="A153" t="s">
        <v>484</v>
      </c>
      <c r="B153" t="s">
        <v>485</v>
      </c>
      <c r="C153" t="s">
        <v>58</v>
      </c>
      <c r="D153" t="s">
        <v>13</v>
      </c>
      <c r="E153" t="s">
        <v>26</v>
      </c>
      <c r="F153" t="s">
        <v>486</v>
      </c>
      <c r="G153">
        <v>114034</v>
      </c>
      <c r="H153" t="s">
        <v>22</v>
      </c>
      <c r="I153">
        <v>0</v>
      </c>
      <c r="J153" t="s">
        <v>17</v>
      </c>
    </row>
    <row r="154" spans="1:10" x14ac:dyDescent="0.2">
      <c r="A154" t="s">
        <v>487</v>
      </c>
      <c r="B154" t="s">
        <v>488</v>
      </c>
      <c r="C154" t="s">
        <v>12</v>
      </c>
      <c r="D154" t="s">
        <v>63</v>
      </c>
      <c r="E154" t="s">
        <v>46</v>
      </c>
      <c r="F154" t="s">
        <v>489</v>
      </c>
      <c r="G154">
        <v>82164</v>
      </c>
      <c r="H154" t="s">
        <v>77</v>
      </c>
      <c r="I154">
        <v>10</v>
      </c>
      <c r="J154" t="s">
        <v>51</v>
      </c>
    </row>
    <row r="155" spans="1:10" x14ac:dyDescent="0.2">
      <c r="A155" t="s">
        <v>490</v>
      </c>
      <c r="B155" t="s">
        <v>491</v>
      </c>
      <c r="C155" t="s">
        <v>25</v>
      </c>
      <c r="D155" t="s">
        <v>59</v>
      </c>
      <c r="E155" t="s">
        <v>26</v>
      </c>
      <c r="F155" t="s">
        <v>492</v>
      </c>
      <c r="G155">
        <v>64284</v>
      </c>
      <c r="H155" t="s">
        <v>33</v>
      </c>
      <c r="I155">
        <v>5</v>
      </c>
      <c r="J155" t="s">
        <v>51</v>
      </c>
    </row>
    <row r="156" spans="1:10" x14ac:dyDescent="0.2">
      <c r="A156" t="s">
        <v>493</v>
      </c>
      <c r="B156" t="s">
        <v>494</v>
      </c>
      <c r="C156" t="s">
        <v>31</v>
      </c>
      <c r="D156" t="s">
        <v>13</v>
      </c>
      <c r="E156" t="s">
        <v>46</v>
      </c>
      <c r="F156" t="s">
        <v>495</v>
      </c>
      <c r="G156">
        <v>113584</v>
      </c>
      <c r="H156" t="s">
        <v>33</v>
      </c>
      <c r="I156">
        <v>10</v>
      </c>
      <c r="J156" t="s">
        <v>51</v>
      </c>
    </row>
    <row r="157" spans="1:10" x14ac:dyDescent="0.2">
      <c r="A157" t="s">
        <v>496</v>
      </c>
      <c r="B157" t="s">
        <v>497</v>
      </c>
      <c r="C157" t="s">
        <v>45</v>
      </c>
      <c r="D157" t="s">
        <v>20</v>
      </c>
      <c r="E157" t="s">
        <v>46</v>
      </c>
      <c r="F157" t="s">
        <v>498</v>
      </c>
      <c r="G157">
        <v>75201</v>
      </c>
      <c r="H157" t="s">
        <v>16</v>
      </c>
      <c r="I157">
        <v>8</v>
      </c>
      <c r="J157" t="s">
        <v>51</v>
      </c>
    </row>
    <row r="158" spans="1:10" x14ac:dyDescent="0.2">
      <c r="A158" t="s">
        <v>499</v>
      </c>
      <c r="B158" t="s">
        <v>500</v>
      </c>
      <c r="C158" t="s">
        <v>80</v>
      </c>
      <c r="D158" t="s">
        <v>59</v>
      </c>
      <c r="E158" t="s">
        <v>14</v>
      </c>
      <c r="F158" t="s">
        <v>501</v>
      </c>
      <c r="G158">
        <v>67805</v>
      </c>
      <c r="H158" t="s">
        <v>16</v>
      </c>
      <c r="I158">
        <v>2</v>
      </c>
      <c r="J158" t="s">
        <v>51</v>
      </c>
    </row>
    <row r="159" spans="1:10" x14ac:dyDescent="0.2">
      <c r="A159" t="s">
        <v>502</v>
      </c>
      <c r="B159" t="s">
        <v>503</v>
      </c>
      <c r="C159" t="s">
        <v>12</v>
      </c>
      <c r="D159" t="s">
        <v>20</v>
      </c>
      <c r="E159" t="s">
        <v>26</v>
      </c>
      <c r="F159" t="s">
        <v>504</v>
      </c>
      <c r="G159">
        <v>95558</v>
      </c>
      <c r="H159" t="s">
        <v>22</v>
      </c>
      <c r="I159">
        <v>7</v>
      </c>
      <c r="J159" t="s">
        <v>51</v>
      </c>
    </row>
    <row r="160" spans="1:10" x14ac:dyDescent="0.2">
      <c r="A160" t="s">
        <v>505</v>
      </c>
      <c r="B160" t="s">
        <v>506</v>
      </c>
      <c r="C160" t="s">
        <v>45</v>
      </c>
      <c r="D160" t="s">
        <v>54</v>
      </c>
      <c r="E160" t="s">
        <v>14</v>
      </c>
      <c r="F160" t="s">
        <v>507</v>
      </c>
      <c r="G160">
        <v>85649</v>
      </c>
      <c r="H160" t="s">
        <v>28</v>
      </c>
      <c r="I160">
        <v>4</v>
      </c>
      <c r="J160" t="s">
        <v>17</v>
      </c>
    </row>
    <row r="161" spans="1:10" x14ac:dyDescent="0.2">
      <c r="A161" t="s">
        <v>508</v>
      </c>
      <c r="B161" t="s">
        <v>509</v>
      </c>
      <c r="C161" t="s">
        <v>12</v>
      </c>
      <c r="D161" t="s">
        <v>59</v>
      </c>
      <c r="E161" t="s">
        <v>46</v>
      </c>
      <c r="F161" t="s">
        <v>510</v>
      </c>
      <c r="G161">
        <v>107691</v>
      </c>
      <c r="H161" t="s">
        <v>42</v>
      </c>
      <c r="I161">
        <v>4</v>
      </c>
      <c r="J161" t="s">
        <v>38</v>
      </c>
    </row>
    <row r="162" spans="1:10" x14ac:dyDescent="0.2">
      <c r="A162" t="s">
        <v>511</v>
      </c>
      <c r="B162" t="s">
        <v>512</v>
      </c>
      <c r="C162" t="s">
        <v>58</v>
      </c>
      <c r="D162" t="s">
        <v>20</v>
      </c>
      <c r="E162" t="s">
        <v>46</v>
      </c>
      <c r="F162" t="s">
        <v>513</v>
      </c>
      <c r="G162">
        <v>32007</v>
      </c>
      <c r="H162" t="s">
        <v>22</v>
      </c>
      <c r="I162">
        <v>7</v>
      </c>
      <c r="J162" t="s">
        <v>51</v>
      </c>
    </row>
    <row r="163" spans="1:10" x14ac:dyDescent="0.2">
      <c r="A163" t="s">
        <v>514</v>
      </c>
      <c r="B163" t="s">
        <v>515</v>
      </c>
      <c r="C163" t="s">
        <v>80</v>
      </c>
      <c r="D163" t="s">
        <v>59</v>
      </c>
      <c r="E163" t="s">
        <v>14</v>
      </c>
      <c r="F163" t="s">
        <v>516</v>
      </c>
      <c r="G163">
        <v>86193</v>
      </c>
      <c r="H163" t="s">
        <v>16</v>
      </c>
      <c r="I163">
        <v>8</v>
      </c>
      <c r="J163" t="s">
        <v>17</v>
      </c>
    </row>
    <row r="164" spans="1:10" x14ac:dyDescent="0.2">
      <c r="A164" t="s">
        <v>517</v>
      </c>
      <c r="B164" t="s">
        <v>518</v>
      </c>
      <c r="C164" t="s">
        <v>25</v>
      </c>
      <c r="D164" t="s">
        <v>63</v>
      </c>
      <c r="E164" t="s">
        <v>26</v>
      </c>
      <c r="F164" t="s">
        <v>519</v>
      </c>
      <c r="G164">
        <v>55938</v>
      </c>
      <c r="H164" t="s">
        <v>33</v>
      </c>
      <c r="I164">
        <v>7</v>
      </c>
      <c r="J164" t="s">
        <v>38</v>
      </c>
    </row>
    <row r="165" spans="1:10" x14ac:dyDescent="0.2">
      <c r="A165" t="s">
        <v>520</v>
      </c>
      <c r="B165" t="s">
        <v>521</v>
      </c>
      <c r="C165" t="s">
        <v>25</v>
      </c>
      <c r="D165" t="s">
        <v>20</v>
      </c>
      <c r="E165" t="s">
        <v>46</v>
      </c>
      <c r="F165" t="s">
        <v>522</v>
      </c>
      <c r="G165">
        <v>56157</v>
      </c>
      <c r="H165" t="s">
        <v>28</v>
      </c>
      <c r="I165">
        <v>8</v>
      </c>
      <c r="J165" t="s">
        <v>51</v>
      </c>
    </row>
    <row r="166" spans="1:10" x14ac:dyDescent="0.2">
      <c r="A166" t="s">
        <v>523</v>
      </c>
      <c r="B166" t="s">
        <v>524</v>
      </c>
      <c r="C166" t="s">
        <v>25</v>
      </c>
      <c r="D166" t="s">
        <v>63</v>
      </c>
      <c r="E166" t="s">
        <v>46</v>
      </c>
      <c r="F166" t="s">
        <v>525</v>
      </c>
      <c r="G166">
        <v>56417</v>
      </c>
      <c r="H166" t="s">
        <v>42</v>
      </c>
      <c r="I166">
        <v>7</v>
      </c>
      <c r="J166" t="s">
        <v>51</v>
      </c>
    </row>
    <row r="167" spans="1:10" x14ac:dyDescent="0.2">
      <c r="A167" t="s">
        <v>526</v>
      </c>
      <c r="B167" t="s">
        <v>527</v>
      </c>
      <c r="C167" t="s">
        <v>31</v>
      </c>
      <c r="D167" t="s">
        <v>20</v>
      </c>
      <c r="E167" t="s">
        <v>14</v>
      </c>
      <c r="F167" t="s">
        <v>528</v>
      </c>
      <c r="G167">
        <v>56208</v>
      </c>
      <c r="H167" t="s">
        <v>22</v>
      </c>
      <c r="I167">
        <v>0</v>
      </c>
      <c r="J167" t="s">
        <v>17</v>
      </c>
    </row>
    <row r="168" spans="1:10" x14ac:dyDescent="0.2">
      <c r="A168" t="s">
        <v>529</v>
      </c>
      <c r="B168" t="s">
        <v>530</v>
      </c>
      <c r="C168" t="s">
        <v>31</v>
      </c>
      <c r="D168" t="s">
        <v>54</v>
      </c>
      <c r="E168" t="s">
        <v>26</v>
      </c>
      <c r="F168" t="s">
        <v>531</v>
      </c>
      <c r="G168">
        <v>45255</v>
      </c>
      <c r="H168" t="s">
        <v>28</v>
      </c>
      <c r="I168">
        <v>5</v>
      </c>
      <c r="J168" t="s">
        <v>38</v>
      </c>
    </row>
    <row r="169" spans="1:10" x14ac:dyDescent="0.2">
      <c r="A169" t="s">
        <v>532</v>
      </c>
      <c r="B169" t="s">
        <v>533</v>
      </c>
      <c r="C169" t="s">
        <v>58</v>
      </c>
      <c r="D169" t="s">
        <v>13</v>
      </c>
      <c r="E169" t="s">
        <v>14</v>
      </c>
      <c r="F169" t="s">
        <v>534</v>
      </c>
      <c r="G169">
        <v>92333</v>
      </c>
      <c r="H169" t="s">
        <v>37</v>
      </c>
      <c r="I169">
        <v>3</v>
      </c>
      <c r="J169" t="s">
        <v>51</v>
      </c>
    </row>
    <row r="170" spans="1:10" x14ac:dyDescent="0.2">
      <c r="A170" t="s">
        <v>535</v>
      </c>
      <c r="B170" t="s">
        <v>536</v>
      </c>
      <c r="C170" t="s">
        <v>12</v>
      </c>
      <c r="D170" t="s">
        <v>13</v>
      </c>
      <c r="E170" t="s">
        <v>46</v>
      </c>
      <c r="F170" t="s">
        <v>537</v>
      </c>
      <c r="G170">
        <v>106155</v>
      </c>
      <c r="H170" t="s">
        <v>28</v>
      </c>
      <c r="I170">
        <v>2</v>
      </c>
      <c r="J170" t="s">
        <v>51</v>
      </c>
    </row>
    <row r="171" spans="1:10" x14ac:dyDescent="0.2">
      <c r="A171" t="s">
        <v>538</v>
      </c>
      <c r="B171" t="s">
        <v>539</v>
      </c>
      <c r="C171" t="s">
        <v>45</v>
      </c>
      <c r="D171" t="s">
        <v>54</v>
      </c>
      <c r="E171" t="s">
        <v>14</v>
      </c>
      <c r="F171" t="s">
        <v>540</v>
      </c>
      <c r="G171">
        <v>96831</v>
      </c>
      <c r="H171" t="s">
        <v>33</v>
      </c>
      <c r="I171">
        <v>1</v>
      </c>
      <c r="J171" t="s">
        <v>17</v>
      </c>
    </row>
    <row r="172" spans="1:10" x14ac:dyDescent="0.2">
      <c r="A172" t="s">
        <v>541</v>
      </c>
      <c r="B172" t="s">
        <v>542</v>
      </c>
      <c r="C172" t="s">
        <v>80</v>
      </c>
      <c r="D172" t="s">
        <v>13</v>
      </c>
      <c r="E172" t="s">
        <v>14</v>
      </c>
      <c r="F172" t="s">
        <v>543</v>
      </c>
      <c r="G172">
        <v>83964</v>
      </c>
      <c r="H172" t="s">
        <v>33</v>
      </c>
      <c r="I172">
        <v>4</v>
      </c>
      <c r="J172" t="s">
        <v>17</v>
      </c>
    </row>
    <row r="173" spans="1:10" x14ac:dyDescent="0.2">
      <c r="A173" t="s">
        <v>544</v>
      </c>
      <c r="B173" t="s">
        <v>545</v>
      </c>
      <c r="C173" t="s">
        <v>25</v>
      </c>
      <c r="D173" t="s">
        <v>13</v>
      </c>
      <c r="E173" t="s">
        <v>26</v>
      </c>
      <c r="F173" t="s">
        <v>546</v>
      </c>
      <c r="G173">
        <v>42093</v>
      </c>
      <c r="H173" t="s">
        <v>28</v>
      </c>
      <c r="I173">
        <v>0</v>
      </c>
      <c r="J173" t="s">
        <v>17</v>
      </c>
    </row>
    <row r="174" spans="1:10" x14ac:dyDescent="0.2">
      <c r="A174" t="s">
        <v>547</v>
      </c>
      <c r="B174" t="s">
        <v>548</v>
      </c>
      <c r="C174" t="s">
        <v>31</v>
      </c>
      <c r="D174" t="s">
        <v>54</v>
      </c>
      <c r="E174" t="s">
        <v>26</v>
      </c>
      <c r="F174" t="s">
        <v>549</v>
      </c>
      <c r="G174">
        <v>75310</v>
      </c>
      <c r="H174" t="s">
        <v>22</v>
      </c>
      <c r="I174">
        <v>8</v>
      </c>
      <c r="J174" t="s">
        <v>17</v>
      </c>
    </row>
    <row r="175" spans="1:10" x14ac:dyDescent="0.2">
      <c r="A175" t="s">
        <v>550</v>
      </c>
      <c r="B175" t="s">
        <v>551</v>
      </c>
      <c r="C175" t="s">
        <v>45</v>
      </c>
      <c r="D175" t="s">
        <v>54</v>
      </c>
      <c r="E175" t="s">
        <v>14</v>
      </c>
      <c r="F175" t="s">
        <v>552</v>
      </c>
      <c r="G175">
        <v>86084</v>
      </c>
      <c r="H175" t="s">
        <v>37</v>
      </c>
      <c r="I175">
        <v>1</v>
      </c>
      <c r="J175" t="s">
        <v>51</v>
      </c>
    </row>
    <row r="176" spans="1:10" x14ac:dyDescent="0.2">
      <c r="A176" t="s">
        <v>553</v>
      </c>
      <c r="B176" t="s">
        <v>554</v>
      </c>
      <c r="C176" t="s">
        <v>58</v>
      </c>
      <c r="D176" t="s">
        <v>13</v>
      </c>
      <c r="E176" t="s">
        <v>14</v>
      </c>
      <c r="F176" t="s">
        <v>555</v>
      </c>
      <c r="G176">
        <v>116194</v>
      </c>
      <c r="H176" t="s">
        <v>28</v>
      </c>
      <c r="I176">
        <v>5</v>
      </c>
      <c r="J176" t="s">
        <v>17</v>
      </c>
    </row>
    <row r="177" spans="1:10" x14ac:dyDescent="0.2">
      <c r="A177" t="s">
        <v>556</v>
      </c>
      <c r="B177" t="s">
        <v>557</v>
      </c>
      <c r="C177" t="s">
        <v>45</v>
      </c>
      <c r="D177" t="s">
        <v>63</v>
      </c>
      <c r="E177" t="s">
        <v>46</v>
      </c>
      <c r="F177" t="s">
        <v>537</v>
      </c>
      <c r="G177">
        <v>76805</v>
      </c>
      <c r="H177" t="s">
        <v>37</v>
      </c>
      <c r="I177">
        <v>5</v>
      </c>
      <c r="J177" t="s">
        <v>38</v>
      </c>
    </row>
    <row r="178" spans="1:10" x14ac:dyDescent="0.2">
      <c r="A178" t="s">
        <v>558</v>
      </c>
      <c r="B178" t="s">
        <v>559</v>
      </c>
      <c r="C178" t="s">
        <v>12</v>
      </c>
      <c r="D178" t="s">
        <v>54</v>
      </c>
      <c r="E178" t="s">
        <v>46</v>
      </c>
      <c r="F178" t="s">
        <v>560</v>
      </c>
      <c r="G178">
        <v>117954</v>
      </c>
      <c r="H178" t="s">
        <v>22</v>
      </c>
      <c r="I178">
        <v>8</v>
      </c>
      <c r="J178" t="s">
        <v>51</v>
      </c>
    </row>
    <row r="179" spans="1:10" x14ac:dyDescent="0.2">
      <c r="A179" t="s">
        <v>561</v>
      </c>
      <c r="B179" t="s">
        <v>562</v>
      </c>
      <c r="C179" t="s">
        <v>58</v>
      </c>
      <c r="D179" t="s">
        <v>63</v>
      </c>
      <c r="E179" t="s">
        <v>46</v>
      </c>
      <c r="F179" t="s">
        <v>563</v>
      </c>
      <c r="G179">
        <v>59813</v>
      </c>
      <c r="H179" t="s">
        <v>37</v>
      </c>
      <c r="I179">
        <v>8</v>
      </c>
      <c r="J179" t="s">
        <v>51</v>
      </c>
    </row>
    <row r="180" spans="1:10" x14ac:dyDescent="0.2">
      <c r="A180" t="s">
        <v>564</v>
      </c>
      <c r="B180" t="s">
        <v>565</v>
      </c>
      <c r="C180" t="s">
        <v>31</v>
      </c>
      <c r="D180" t="s">
        <v>13</v>
      </c>
      <c r="E180" t="s">
        <v>26</v>
      </c>
      <c r="F180" t="s">
        <v>566</v>
      </c>
      <c r="G180">
        <v>37267</v>
      </c>
      <c r="H180" t="s">
        <v>33</v>
      </c>
      <c r="I180">
        <v>10</v>
      </c>
      <c r="J180" t="s">
        <v>38</v>
      </c>
    </row>
    <row r="181" spans="1:10" x14ac:dyDescent="0.2">
      <c r="A181" t="s">
        <v>567</v>
      </c>
      <c r="B181" t="s">
        <v>568</v>
      </c>
      <c r="C181" t="s">
        <v>12</v>
      </c>
      <c r="D181" t="s">
        <v>13</v>
      </c>
      <c r="E181" t="s">
        <v>26</v>
      </c>
      <c r="F181" t="s">
        <v>569</v>
      </c>
      <c r="G181">
        <v>119275</v>
      </c>
      <c r="H181" t="s">
        <v>77</v>
      </c>
      <c r="I181">
        <v>2</v>
      </c>
      <c r="J181" t="s">
        <v>38</v>
      </c>
    </row>
    <row r="182" spans="1:10" x14ac:dyDescent="0.2">
      <c r="A182" t="s">
        <v>570</v>
      </c>
      <c r="B182" t="s">
        <v>571</v>
      </c>
      <c r="C182" t="s">
        <v>12</v>
      </c>
      <c r="D182" t="s">
        <v>20</v>
      </c>
      <c r="E182" t="s">
        <v>26</v>
      </c>
      <c r="F182" t="s">
        <v>572</v>
      </c>
      <c r="G182">
        <v>87260</v>
      </c>
      <c r="H182" t="s">
        <v>33</v>
      </c>
      <c r="I182">
        <v>7</v>
      </c>
      <c r="J182" t="s">
        <v>38</v>
      </c>
    </row>
    <row r="183" spans="1:10" x14ac:dyDescent="0.2">
      <c r="A183" t="s">
        <v>573</v>
      </c>
      <c r="B183" t="s">
        <v>574</v>
      </c>
      <c r="C183" t="s">
        <v>80</v>
      </c>
      <c r="D183" t="s">
        <v>63</v>
      </c>
      <c r="E183" t="s">
        <v>26</v>
      </c>
      <c r="F183" t="s">
        <v>575</v>
      </c>
      <c r="G183">
        <v>44548</v>
      </c>
      <c r="H183" t="s">
        <v>22</v>
      </c>
      <c r="I183">
        <v>7</v>
      </c>
      <c r="J183" t="s">
        <v>38</v>
      </c>
    </row>
    <row r="184" spans="1:10" x14ac:dyDescent="0.2">
      <c r="A184" t="s">
        <v>576</v>
      </c>
      <c r="B184" t="s">
        <v>577</v>
      </c>
      <c r="C184" t="s">
        <v>80</v>
      </c>
      <c r="D184" t="s">
        <v>13</v>
      </c>
      <c r="E184" t="s">
        <v>26</v>
      </c>
      <c r="F184" t="s">
        <v>578</v>
      </c>
      <c r="G184">
        <v>78074</v>
      </c>
      <c r="H184" t="s">
        <v>33</v>
      </c>
      <c r="I184">
        <v>6</v>
      </c>
      <c r="J184" t="s">
        <v>38</v>
      </c>
    </row>
    <row r="185" spans="1:10" x14ac:dyDescent="0.2">
      <c r="A185" t="s">
        <v>579</v>
      </c>
      <c r="B185" t="s">
        <v>580</v>
      </c>
      <c r="C185" t="s">
        <v>25</v>
      </c>
      <c r="D185" t="s">
        <v>59</v>
      </c>
      <c r="E185" t="s">
        <v>14</v>
      </c>
      <c r="F185" t="s">
        <v>581</v>
      </c>
      <c r="G185">
        <v>82870</v>
      </c>
      <c r="H185" t="s">
        <v>37</v>
      </c>
      <c r="I185">
        <v>10</v>
      </c>
      <c r="J185" t="s">
        <v>17</v>
      </c>
    </row>
    <row r="186" spans="1:10" x14ac:dyDescent="0.2">
      <c r="A186" t="s">
        <v>582</v>
      </c>
      <c r="B186" t="s">
        <v>583</v>
      </c>
      <c r="C186" t="s">
        <v>58</v>
      </c>
      <c r="D186" t="s">
        <v>63</v>
      </c>
      <c r="E186" t="s">
        <v>14</v>
      </c>
      <c r="F186" t="s">
        <v>584</v>
      </c>
      <c r="G186">
        <v>114909</v>
      </c>
      <c r="H186" t="s">
        <v>33</v>
      </c>
      <c r="I186">
        <v>5</v>
      </c>
      <c r="J186" t="s">
        <v>38</v>
      </c>
    </row>
    <row r="187" spans="1:10" x14ac:dyDescent="0.2">
      <c r="A187" t="s">
        <v>585</v>
      </c>
      <c r="B187" t="s">
        <v>586</v>
      </c>
      <c r="C187" t="s">
        <v>80</v>
      </c>
      <c r="D187" t="s">
        <v>59</v>
      </c>
      <c r="E187" t="s">
        <v>14</v>
      </c>
      <c r="F187" t="s">
        <v>587</v>
      </c>
      <c r="G187">
        <v>99144</v>
      </c>
      <c r="H187" t="s">
        <v>22</v>
      </c>
      <c r="I187">
        <v>9</v>
      </c>
      <c r="J187" t="s">
        <v>51</v>
      </c>
    </row>
    <row r="188" spans="1:10" x14ac:dyDescent="0.2">
      <c r="A188" t="s">
        <v>588</v>
      </c>
      <c r="B188" t="s">
        <v>589</v>
      </c>
      <c r="C188" t="s">
        <v>25</v>
      </c>
      <c r="D188" t="s">
        <v>20</v>
      </c>
      <c r="E188" t="s">
        <v>46</v>
      </c>
      <c r="F188" t="s">
        <v>590</v>
      </c>
      <c r="G188">
        <v>54626</v>
      </c>
      <c r="H188" t="s">
        <v>28</v>
      </c>
      <c r="I188">
        <v>9</v>
      </c>
      <c r="J188" t="s">
        <v>38</v>
      </c>
    </row>
    <row r="189" spans="1:10" x14ac:dyDescent="0.2">
      <c r="A189" t="s">
        <v>591</v>
      </c>
      <c r="B189" t="s">
        <v>592</v>
      </c>
      <c r="C189" t="s">
        <v>25</v>
      </c>
      <c r="D189" t="s">
        <v>20</v>
      </c>
      <c r="E189" t="s">
        <v>46</v>
      </c>
      <c r="F189" t="s">
        <v>593</v>
      </c>
      <c r="G189">
        <v>30286</v>
      </c>
      <c r="H189" t="s">
        <v>28</v>
      </c>
      <c r="I189">
        <v>3</v>
      </c>
      <c r="J189" t="s">
        <v>38</v>
      </c>
    </row>
    <row r="190" spans="1:10" x14ac:dyDescent="0.2">
      <c r="A190" t="s">
        <v>594</v>
      </c>
      <c r="B190" t="s">
        <v>595</v>
      </c>
      <c r="C190" t="s">
        <v>31</v>
      </c>
      <c r="D190" t="s">
        <v>13</v>
      </c>
      <c r="E190" t="s">
        <v>14</v>
      </c>
      <c r="F190" t="s">
        <v>596</v>
      </c>
      <c r="G190">
        <v>49534</v>
      </c>
      <c r="H190" t="s">
        <v>77</v>
      </c>
      <c r="I190">
        <v>6</v>
      </c>
      <c r="J190" t="s">
        <v>17</v>
      </c>
    </row>
    <row r="191" spans="1:10" x14ac:dyDescent="0.2">
      <c r="A191" t="s">
        <v>597</v>
      </c>
      <c r="B191" t="s">
        <v>598</v>
      </c>
      <c r="C191" t="s">
        <v>12</v>
      </c>
      <c r="D191" t="s">
        <v>54</v>
      </c>
      <c r="E191" t="s">
        <v>26</v>
      </c>
      <c r="F191" t="s">
        <v>599</v>
      </c>
      <c r="G191">
        <v>62375</v>
      </c>
      <c r="H191" t="s">
        <v>22</v>
      </c>
      <c r="I191">
        <v>2</v>
      </c>
      <c r="J191" t="s">
        <v>38</v>
      </c>
    </row>
    <row r="192" spans="1:10" x14ac:dyDescent="0.2">
      <c r="A192" t="s">
        <v>600</v>
      </c>
      <c r="B192" t="s">
        <v>601</v>
      </c>
      <c r="C192" t="s">
        <v>80</v>
      </c>
      <c r="D192" t="s">
        <v>13</v>
      </c>
      <c r="E192" t="s">
        <v>26</v>
      </c>
      <c r="F192" t="s">
        <v>602</v>
      </c>
      <c r="G192">
        <v>92750</v>
      </c>
      <c r="H192" t="s">
        <v>77</v>
      </c>
      <c r="I192">
        <v>6</v>
      </c>
      <c r="J192" t="s">
        <v>38</v>
      </c>
    </row>
    <row r="193" spans="1:10" x14ac:dyDescent="0.2">
      <c r="A193" t="s">
        <v>603</v>
      </c>
      <c r="B193" t="s">
        <v>604</v>
      </c>
      <c r="C193" t="s">
        <v>25</v>
      </c>
      <c r="D193" t="s">
        <v>59</v>
      </c>
      <c r="E193" t="s">
        <v>46</v>
      </c>
      <c r="F193" t="s">
        <v>605</v>
      </c>
      <c r="G193">
        <v>50865</v>
      </c>
      <c r="H193" t="s">
        <v>33</v>
      </c>
      <c r="I193">
        <v>1</v>
      </c>
      <c r="J193" t="s">
        <v>17</v>
      </c>
    </row>
    <row r="194" spans="1:10" x14ac:dyDescent="0.2">
      <c r="A194" t="s">
        <v>606</v>
      </c>
      <c r="B194" t="s">
        <v>607</v>
      </c>
      <c r="C194" t="s">
        <v>31</v>
      </c>
      <c r="D194" t="s">
        <v>20</v>
      </c>
      <c r="E194" t="s">
        <v>14</v>
      </c>
      <c r="F194" t="s">
        <v>608</v>
      </c>
      <c r="G194">
        <v>116415</v>
      </c>
      <c r="H194" t="s">
        <v>33</v>
      </c>
      <c r="I194">
        <v>3</v>
      </c>
      <c r="J194" t="s">
        <v>17</v>
      </c>
    </row>
    <row r="195" spans="1:10" x14ac:dyDescent="0.2">
      <c r="A195" t="s">
        <v>609</v>
      </c>
      <c r="B195" t="s">
        <v>610</v>
      </c>
      <c r="C195" t="s">
        <v>80</v>
      </c>
      <c r="D195" t="s">
        <v>63</v>
      </c>
      <c r="E195" t="s">
        <v>14</v>
      </c>
      <c r="F195" t="s">
        <v>611</v>
      </c>
      <c r="G195">
        <v>55775</v>
      </c>
      <c r="H195" t="s">
        <v>42</v>
      </c>
      <c r="I195">
        <v>0</v>
      </c>
      <c r="J195" t="s">
        <v>38</v>
      </c>
    </row>
    <row r="196" spans="1:10" x14ac:dyDescent="0.2">
      <c r="A196" t="s">
        <v>612</v>
      </c>
      <c r="B196" t="s">
        <v>613</v>
      </c>
      <c r="C196" t="s">
        <v>12</v>
      </c>
      <c r="D196" t="s">
        <v>20</v>
      </c>
      <c r="E196" t="s">
        <v>26</v>
      </c>
      <c r="F196" t="s">
        <v>614</v>
      </c>
      <c r="G196">
        <v>91544</v>
      </c>
      <c r="H196" t="s">
        <v>33</v>
      </c>
      <c r="I196">
        <v>9</v>
      </c>
      <c r="J196" t="s">
        <v>17</v>
      </c>
    </row>
    <row r="197" spans="1:10" x14ac:dyDescent="0.2">
      <c r="A197" t="s">
        <v>615</v>
      </c>
      <c r="B197" t="s">
        <v>616</v>
      </c>
      <c r="C197" t="s">
        <v>45</v>
      </c>
      <c r="D197" t="s">
        <v>63</v>
      </c>
      <c r="E197" t="s">
        <v>26</v>
      </c>
      <c r="F197" t="s">
        <v>617</v>
      </c>
      <c r="G197">
        <v>60806</v>
      </c>
      <c r="H197" t="s">
        <v>77</v>
      </c>
      <c r="I197">
        <v>8</v>
      </c>
      <c r="J197" t="s">
        <v>38</v>
      </c>
    </row>
    <row r="198" spans="1:10" x14ac:dyDescent="0.2">
      <c r="A198" t="s">
        <v>618</v>
      </c>
      <c r="B198" t="s">
        <v>619</v>
      </c>
      <c r="C198" t="s">
        <v>58</v>
      </c>
      <c r="D198" t="s">
        <v>54</v>
      </c>
      <c r="E198" t="s">
        <v>46</v>
      </c>
      <c r="F198" t="s">
        <v>341</v>
      </c>
      <c r="G198">
        <v>72490</v>
      </c>
      <c r="H198" t="s">
        <v>16</v>
      </c>
      <c r="I198">
        <v>3</v>
      </c>
      <c r="J198" t="s">
        <v>17</v>
      </c>
    </row>
    <row r="199" spans="1:10" x14ac:dyDescent="0.2">
      <c r="A199" t="s">
        <v>620</v>
      </c>
      <c r="B199" t="s">
        <v>621</v>
      </c>
      <c r="C199" t="s">
        <v>58</v>
      </c>
      <c r="D199" t="s">
        <v>59</v>
      </c>
      <c r="E199" t="s">
        <v>46</v>
      </c>
      <c r="F199" t="s">
        <v>622</v>
      </c>
      <c r="G199">
        <v>42440</v>
      </c>
      <c r="H199" t="s">
        <v>42</v>
      </c>
      <c r="I199">
        <v>6</v>
      </c>
      <c r="J199" t="s">
        <v>51</v>
      </c>
    </row>
    <row r="200" spans="1:10" x14ac:dyDescent="0.2">
      <c r="A200" t="s">
        <v>623</v>
      </c>
      <c r="B200" t="s">
        <v>624</v>
      </c>
      <c r="C200" t="s">
        <v>25</v>
      </c>
      <c r="D200" t="s">
        <v>13</v>
      </c>
      <c r="E200" t="s">
        <v>46</v>
      </c>
      <c r="F200" t="s">
        <v>625</v>
      </c>
      <c r="G200">
        <v>49868</v>
      </c>
      <c r="H200" t="s">
        <v>22</v>
      </c>
      <c r="I200">
        <v>10</v>
      </c>
      <c r="J200" t="s">
        <v>17</v>
      </c>
    </row>
    <row r="201" spans="1:10" x14ac:dyDescent="0.2">
      <c r="A201" t="s">
        <v>626</v>
      </c>
      <c r="B201" t="s">
        <v>627</v>
      </c>
      <c r="C201" t="s">
        <v>80</v>
      </c>
      <c r="D201" t="s">
        <v>59</v>
      </c>
      <c r="E201" t="s">
        <v>46</v>
      </c>
      <c r="F201" t="s">
        <v>628</v>
      </c>
      <c r="G201">
        <v>36107</v>
      </c>
      <c r="H201" t="s">
        <v>16</v>
      </c>
      <c r="I201">
        <v>8</v>
      </c>
      <c r="J201" t="s">
        <v>38</v>
      </c>
    </row>
    <row r="202" spans="1:10" x14ac:dyDescent="0.2">
      <c r="A202" t="s">
        <v>629</v>
      </c>
      <c r="B202" t="s">
        <v>630</v>
      </c>
      <c r="C202" t="s">
        <v>45</v>
      </c>
      <c r="D202" t="s">
        <v>63</v>
      </c>
      <c r="E202" t="s">
        <v>14</v>
      </c>
      <c r="F202" t="s">
        <v>631</v>
      </c>
      <c r="G202">
        <v>107869</v>
      </c>
      <c r="H202" t="s">
        <v>33</v>
      </c>
      <c r="I202">
        <v>3</v>
      </c>
      <c r="J202" t="s">
        <v>17</v>
      </c>
    </row>
    <row r="203" spans="1:10" x14ac:dyDescent="0.2">
      <c r="A203" t="s">
        <v>632</v>
      </c>
      <c r="B203" t="s">
        <v>633</v>
      </c>
      <c r="C203" t="s">
        <v>31</v>
      </c>
      <c r="D203" t="s">
        <v>20</v>
      </c>
      <c r="E203" t="s">
        <v>46</v>
      </c>
      <c r="F203" t="s">
        <v>105</v>
      </c>
      <c r="G203">
        <v>42061</v>
      </c>
      <c r="H203" t="s">
        <v>33</v>
      </c>
      <c r="I203">
        <v>8</v>
      </c>
      <c r="J203" t="s">
        <v>51</v>
      </c>
    </row>
    <row r="204" spans="1:10" x14ac:dyDescent="0.2">
      <c r="A204" t="s">
        <v>634</v>
      </c>
      <c r="B204" t="s">
        <v>635</v>
      </c>
      <c r="C204" t="s">
        <v>12</v>
      </c>
      <c r="D204" t="s">
        <v>54</v>
      </c>
      <c r="E204" t="s">
        <v>14</v>
      </c>
      <c r="F204" t="s">
        <v>636</v>
      </c>
      <c r="G204">
        <v>93917</v>
      </c>
      <c r="H204" t="s">
        <v>77</v>
      </c>
      <c r="I204">
        <v>7</v>
      </c>
      <c r="J204" t="s">
        <v>38</v>
      </c>
    </row>
    <row r="205" spans="1:10" x14ac:dyDescent="0.2">
      <c r="A205" t="s">
        <v>637</v>
      </c>
      <c r="B205" t="s">
        <v>638</v>
      </c>
      <c r="C205" t="s">
        <v>31</v>
      </c>
      <c r="D205" t="s">
        <v>13</v>
      </c>
      <c r="E205" t="s">
        <v>26</v>
      </c>
      <c r="F205" t="s">
        <v>639</v>
      </c>
      <c r="G205">
        <v>43377</v>
      </c>
      <c r="H205" t="s">
        <v>16</v>
      </c>
      <c r="I205">
        <v>5</v>
      </c>
      <c r="J205" t="s">
        <v>51</v>
      </c>
    </row>
    <row r="206" spans="1:10" x14ac:dyDescent="0.2">
      <c r="A206" t="s">
        <v>640</v>
      </c>
      <c r="B206" t="s">
        <v>641</v>
      </c>
      <c r="C206" t="s">
        <v>58</v>
      </c>
      <c r="D206" t="s">
        <v>59</v>
      </c>
      <c r="E206" t="s">
        <v>26</v>
      </c>
      <c r="F206" t="s">
        <v>642</v>
      </c>
      <c r="G206">
        <v>98739</v>
      </c>
      <c r="H206" t="s">
        <v>42</v>
      </c>
      <c r="I206">
        <v>7</v>
      </c>
      <c r="J206" t="s">
        <v>51</v>
      </c>
    </row>
    <row r="207" spans="1:10" x14ac:dyDescent="0.2">
      <c r="A207" t="s">
        <v>643</v>
      </c>
      <c r="B207" t="s">
        <v>644</v>
      </c>
      <c r="C207" t="s">
        <v>80</v>
      </c>
      <c r="D207" t="s">
        <v>20</v>
      </c>
      <c r="E207" t="s">
        <v>14</v>
      </c>
      <c r="F207" t="s">
        <v>645</v>
      </c>
      <c r="G207">
        <v>72510</v>
      </c>
      <c r="H207" t="s">
        <v>42</v>
      </c>
      <c r="I207">
        <v>0</v>
      </c>
      <c r="J207" t="s">
        <v>17</v>
      </c>
    </row>
    <row r="208" spans="1:10" x14ac:dyDescent="0.2">
      <c r="A208" t="s">
        <v>646</v>
      </c>
      <c r="B208" t="s">
        <v>647</v>
      </c>
      <c r="C208" t="s">
        <v>25</v>
      </c>
      <c r="D208" t="s">
        <v>13</v>
      </c>
      <c r="E208" t="s">
        <v>14</v>
      </c>
      <c r="F208" t="s">
        <v>648</v>
      </c>
      <c r="G208">
        <v>33956</v>
      </c>
      <c r="H208" t="s">
        <v>28</v>
      </c>
      <c r="I208">
        <v>1</v>
      </c>
      <c r="J208" t="s">
        <v>17</v>
      </c>
    </row>
    <row r="209" spans="1:10" x14ac:dyDescent="0.2">
      <c r="A209" t="s">
        <v>649</v>
      </c>
      <c r="B209" t="s">
        <v>650</v>
      </c>
      <c r="C209" t="s">
        <v>45</v>
      </c>
      <c r="D209" t="s">
        <v>59</v>
      </c>
      <c r="E209" t="s">
        <v>26</v>
      </c>
      <c r="F209" t="s">
        <v>651</v>
      </c>
      <c r="G209">
        <v>101128</v>
      </c>
      <c r="H209" t="s">
        <v>77</v>
      </c>
      <c r="I209">
        <v>1</v>
      </c>
      <c r="J209" t="s">
        <v>17</v>
      </c>
    </row>
    <row r="210" spans="1:10" x14ac:dyDescent="0.2">
      <c r="A210" t="s">
        <v>652</v>
      </c>
      <c r="B210" t="s">
        <v>653</v>
      </c>
      <c r="C210" t="s">
        <v>12</v>
      </c>
      <c r="D210" t="s">
        <v>13</v>
      </c>
      <c r="E210" t="s">
        <v>46</v>
      </c>
      <c r="F210" t="s">
        <v>654</v>
      </c>
      <c r="G210">
        <v>36373</v>
      </c>
      <c r="H210" t="s">
        <v>28</v>
      </c>
      <c r="I210">
        <v>4</v>
      </c>
      <c r="J210" t="s">
        <v>17</v>
      </c>
    </row>
    <row r="211" spans="1:10" x14ac:dyDescent="0.2">
      <c r="A211" t="s">
        <v>655</v>
      </c>
      <c r="B211" t="s">
        <v>656</v>
      </c>
      <c r="C211" t="s">
        <v>12</v>
      </c>
      <c r="D211" t="s">
        <v>54</v>
      </c>
      <c r="E211" t="s">
        <v>14</v>
      </c>
      <c r="F211" t="s">
        <v>657</v>
      </c>
      <c r="G211">
        <v>107511</v>
      </c>
      <c r="H211" t="s">
        <v>33</v>
      </c>
      <c r="I211">
        <v>7</v>
      </c>
      <c r="J211" t="s">
        <v>51</v>
      </c>
    </row>
    <row r="212" spans="1:10" x14ac:dyDescent="0.2">
      <c r="A212" t="s">
        <v>658</v>
      </c>
      <c r="B212" t="s">
        <v>659</v>
      </c>
      <c r="C212" t="s">
        <v>45</v>
      </c>
      <c r="D212" t="s">
        <v>20</v>
      </c>
      <c r="E212" t="s">
        <v>26</v>
      </c>
      <c r="F212" t="s">
        <v>660</v>
      </c>
      <c r="G212">
        <v>104414</v>
      </c>
      <c r="H212" t="s">
        <v>28</v>
      </c>
      <c r="I212">
        <v>2</v>
      </c>
      <c r="J212" t="s">
        <v>38</v>
      </c>
    </row>
    <row r="213" spans="1:10" x14ac:dyDescent="0.2">
      <c r="A213" t="s">
        <v>661</v>
      </c>
      <c r="B213" t="s">
        <v>662</v>
      </c>
      <c r="C213" t="s">
        <v>80</v>
      </c>
      <c r="D213" t="s">
        <v>59</v>
      </c>
      <c r="E213" t="s">
        <v>14</v>
      </c>
      <c r="F213" t="s">
        <v>663</v>
      </c>
      <c r="G213">
        <v>99544</v>
      </c>
      <c r="H213" t="s">
        <v>37</v>
      </c>
      <c r="I213">
        <v>1</v>
      </c>
      <c r="J213" t="s">
        <v>51</v>
      </c>
    </row>
    <row r="214" spans="1:10" x14ac:dyDescent="0.2">
      <c r="A214" t="s">
        <v>664</v>
      </c>
      <c r="B214" t="s">
        <v>665</v>
      </c>
      <c r="C214" t="s">
        <v>25</v>
      </c>
      <c r="D214" t="s">
        <v>54</v>
      </c>
      <c r="E214" t="s">
        <v>46</v>
      </c>
      <c r="F214" t="s">
        <v>666</v>
      </c>
      <c r="G214">
        <v>51545</v>
      </c>
      <c r="H214" t="s">
        <v>77</v>
      </c>
      <c r="I214">
        <v>4</v>
      </c>
      <c r="J214" t="s">
        <v>17</v>
      </c>
    </row>
    <row r="215" spans="1:10" x14ac:dyDescent="0.2">
      <c r="A215" t="s">
        <v>667</v>
      </c>
      <c r="B215" t="s">
        <v>668</v>
      </c>
      <c r="C215" t="s">
        <v>31</v>
      </c>
      <c r="D215" t="s">
        <v>59</v>
      </c>
      <c r="E215" t="s">
        <v>46</v>
      </c>
      <c r="F215" t="s">
        <v>669</v>
      </c>
      <c r="G215">
        <v>68423</v>
      </c>
      <c r="H215" t="s">
        <v>77</v>
      </c>
      <c r="I215">
        <v>4</v>
      </c>
      <c r="J215" t="s">
        <v>17</v>
      </c>
    </row>
    <row r="216" spans="1:10" x14ac:dyDescent="0.2">
      <c r="A216" t="s">
        <v>670</v>
      </c>
      <c r="B216" t="s">
        <v>671</v>
      </c>
      <c r="C216" t="s">
        <v>12</v>
      </c>
      <c r="D216" t="s">
        <v>13</v>
      </c>
      <c r="E216" t="s">
        <v>46</v>
      </c>
      <c r="F216" t="s">
        <v>672</v>
      </c>
      <c r="G216">
        <v>110261</v>
      </c>
      <c r="H216" t="s">
        <v>77</v>
      </c>
      <c r="I216">
        <v>3</v>
      </c>
      <c r="J216" t="s">
        <v>51</v>
      </c>
    </row>
    <row r="217" spans="1:10" x14ac:dyDescent="0.2">
      <c r="A217" t="s">
        <v>673</v>
      </c>
      <c r="B217" t="s">
        <v>674</v>
      </c>
      <c r="C217" t="s">
        <v>80</v>
      </c>
      <c r="D217" t="s">
        <v>20</v>
      </c>
      <c r="E217" t="s">
        <v>14</v>
      </c>
      <c r="F217" t="s">
        <v>675</v>
      </c>
      <c r="G217">
        <v>63623</v>
      </c>
      <c r="H217" t="s">
        <v>33</v>
      </c>
      <c r="I217">
        <v>5</v>
      </c>
      <c r="J217" t="s">
        <v>51</v>
      </c>
    </row>
    <row r="218" spans="1:10" x14ac:dyDescent="0.2">
      <c r="A218" t="s">
        <v>676</v>
      </c>
      <c r="B218" t="s">
        <v>677</v>
      </c>
      <c r="C218" t="s">
        <v>58</v>
      </c>
      <c r="D218" t="s">
        <v>59</v>
      </c>
      <c r="E218" t="s">
        <v>26</v>
      </c>
      <c r="F218" t="s">
        <v>678</v>
      </c>
      <c r="G218">
        <v>85949</v>
      </c>
      <c r="H218" t="s">
        <v>33</v>
      </c>
      <c r="I218">
        <v>1</v>
      </c>
      <c r="J218" t="s">
        <v>17</v>
      </c>
    </row>
    <row r="219" spans="1:10" x14ac:dyDescent="0.2">
      <c r="A219" t="s">
        <v>679</v>
      </c>
      <c r="B219" t="s">
        <v>680</v>
      </c>
      <c r="C219" t="s">
        <v>58</v>
      </c>
      <c r="D219" t="s">
        <v>63</v>
      </c>
      <c r="E219" t="s">
        <v>26</v>
      </c>
      <c r="F219" t="s">
        <v>681</v>
      </c>
      <c r="G219">
        <v>40652</v>
      </c>
      <c r="H219" t="s">
        <v>16</v>
      </c>
      <c r="I219">
        <v>2</v>
      </c>
      <c r="J219" t="s">
        <v>17</v>
      </c>
    </row>
    <row r="220" spans="1:10" x14ac:dyDescent="0.2">
      <c r="A220" t="s">
        <v>682</v>
      </c>
      <c r="B220" t="s">
        <v>683</v>
      </c>
      <c r="C220" t="s">
        <v>31</v>
      </c>
      <c r="D220" t="s">
        <v>63</v>
      </c>
      <c r="E220" t="s">
        <v>26</v>
      </c>
      <c r="F220" t="s">
        <v>684</v>
      </c>
      <c r="G220">
        <v>56803</v>
      </c>
      <c r="H220" t="s">
        <v>22</v>
      </c>
      <c r="I220">
        <v>3</v>
      </c>
      <c r="J220" t="s">
        <v>38</v>
      </c>
    </row>
    <row r="221" spans="1:10" x14ac:dyDescent="0.2">
      <c r="A221" t="s">
        <v>685</v>
      </c>
      <c r="B221" t="s">
        <v>686</v>
      </c>
      <c r="C221" t="s">
        <v>25</v>
      </c>
      <c r="D221" t="s">
        <v>59</v>
      </c>
      <c r="E221" t="s">
        <v>46</v>
      </c>
      <c r="F221" t="s">
        <v>687</v>
      </c>
      <c r="G221">
        <v>63234</v>
      </c>
      <c r="H221" t="s">
        <v>16</v>
      </c>
      <c r="I221">
        <v>10</v>
      </c>
      <c r="J221" t="s">
        <v>51</v>
      </c>
    </row>
    <row r="222" spans="1:10" x14ac:dyDescent="0.2">
      <c r="A222" t="s">
        <v>688</v>
      </c>
      <c r="B222" t="s">
        <v>689</v>
      </c>
      <c r="C222" t="s">
        <v>25</v>
      </c>
      <c r="D222" t="s">
        <v>20</v>
      </c>
      <c r="E222" t="s">
        <v>46</v>
      </c>
      <c r="F222" t="s">
        <v>690</v>
      </c>
      <c r="G222">
        <v>86013</v>
      </c>
      <c r="H222" t="s">
        <v>37</v>
      </c>
      <c r="I222">
        <v>10</v>
      </c>
      <c r="J222" t="s">
        <v>38</v>
      </c>
    </row>
    <row r="223" spans="1:10" x14ac:dyDescent="0.2">
      <c r="A223" t="s">
        <v>691</v>
      </c>
      <c r="B223" t="s">
        <v>692</v>
      </c>
      <c r="C223" t="s">
        <v>12</v>
      </c>
      <c r="D223" t="s">
        <v>54</v>
      </c>
      <c r="E223" t="s">
        <v>26</v>
      </c>
      <c r="F223" t="s">
        <v>693</v>
      </c>
      <c r="G223">
        <v>87799</v>
      </c>
      <c r="H223" t="s">
        <v>16</v>
      </c>
      <c r="I223">
        <v>2</v>
      </c>
      <c r="J223" t="s">
        <v>51</v>
      </c>
    </row>
    <row r="224" spans="1:10" x14ac:dyDescent="0.2">
      <c r="A224" t="s">
        <v>694</v>
      </c>
      <c r="B224" t="s">
        <v>695</v>
      </c>
      <c r="C224" t="s">
        <v>45</v>
      </c>
      <c r="D224" t="s">
        <v>13</v>
      </c>
      <c r="E224" t="s">
        <v>26</v>
      </c>
      <c r="F224" t="s">
        <v>696</v>
      </c>
      <c r="G224">
        <v>30812</v>
      </c>
      <c r="H224" t="s">
        <v>33</v>
      </c>
      <c r="I224">
        <v>7</v>
      </c>
      <c r="J224" t="s">
        <v>17</v>
      </c>
    </row>
    <row r="225" spans="1:10" x14ac:dyDescent="0.2">
      <c r="A225" t="s">
        <v>697</v>
      </c>
      <c r="B225" t="s">
        <v>698</v>
      </c>
      <c r="C225" t="s">
        <v>80</v>
      </c>
      <c r="D225" t="s">
        <v>63</v>
      </c>
      <c r="E225" t="s">
        <v>46</v>
      </c>
      <c r="F225" t="s">
        <v>699</v>
      </c>
      <c r="G225">
        <v>91306</v>
      </c>
      <c r="H225" t="s">
        <v>37</v>
      </c>
      <c r="I225">
        <v>9</v>
      </c>
      <c r="J225" t="s">
        <v>17</v>
      </c>
    </row>
    <row r="226" spans="1:10" x14ac:dyDescent="0.2">
      <c r="A226" t="s">
        <v>700</v>
      </c>
      <c r="B226" t="s">
        <v>701</v>
      </c>
      <c r="C226" t="s">
        <v>31</v>
      </c>
      <c r="D226" t="s">
        <v>63</v>
      </c>
      <c r="E226" t="s">
        <v>26</v>
      </c>
      <c r="F226" t="s">
        <v>702</v>
      </c>
      <c r="G226">
        <v>73212</v>
      </c>
      <c r="H226" t="s">
        <v>77</v>
      </c>
      <c r="I226">
        <v>5</v>
      </c>
      <c r="J226" t="s">
        <v>51</v>
      </c>
    </row>
    <row r="227" spans="1:10" x14ac:dyDescent="0.2">
      <c r="A227" t="s">
        <v>703</v>
      </c>
      <c r="B227" t="s">
        <v>704</v>
      </c>
      <c r="C227" t="s">
        <v>45</v>
      </c>
      <c r="D227" t="s">
        <v>20</v>
      </c>
      <c r="E227" t="s">
        <v>26</v>
      </c>
      <c r="F227" t="s">
        <v>705</v>
      </c>
      <c r="G227">
        <v>38755</v>
      </c>
      <c r="H227" t="s">
        <v>28</v>
      </c>
      <c r="I227">
        <v>8</v>
      </c>
      <c r="J227" t="s">
        <v>17</v>
      </c>
    </row>
    <row r="228" spans="1:10" x14ac:dyDescent="0.2">
      <c r="A228" t="s">
        <v>706</v>
      </c>
      <c r="B228" t="s">
        <v>707</v>
      </c>
      <c r="C228" t="s">
        <v>58</v>
      </c>
      <c r="D228" t="s">
        <v>13</v>
      </c>
      <c r="E228" t="s">
        <v>26</v>
      </c>
      <c r="F228" t="s">
        <v>708</v>
      </c>
      <c r="G228">
        <v>56879</v>
      </c>
      <c r="H228" t="s">
        <v>22</v>
      </c>
      <c r="I228">
        <v>1</v>
      </c>
      <c r="J228" t="s">
        <v>38</v>
      </c>
    </row>
    <row r="229" spans="1:10" x14ac:dyDescent="0.2">
      <c r="A229" t="s">
        <v>709</v>
      </c>
      <c r="B229" t="s">
        <v>710</v>
      </c>
      <c r="C229" t="s">
        <v>80</v>
      </c>
      <c r="D229" t="s">
        <v>59</v>
      </c>
      <c r="E229" t="s">
        <v>26</v>
      </c>
      <c r="F229" t="s">
        <v>711</v>
      </c>
      <c r="G229">
        <v>50597</v>
      </c>
      <c r="H229" t="s">
        <v>42</v>
      </c>
      <c r="I229">
        <v>3</v>
      </c>
      <c r="J229" t="s">
        <v>38</v>
      </c>
    </row>
    <row r="230" spans="1:10" x14ac:dyDescent="0.2">
      <c r="A230" t="s">
        <v>712</v>
      </c>
      <c r="B230" t="s">
        <v>713</v>
      </c>
      <c r="C230" t="s">
        <v>12</v>
      </c>
      <c r="D230" t="s">
        <v>59</v>
      </c>
      <c r="E230" t="s">
        <v>14</v>
      </c>
      <c r="F230" t="s">
        <v>714</v>
      </c>
      <c r="G230">
        <v>101436</v>
      </c>
      <c r="H230" t="s">
        <v>22</v>
      </c>
      <c r="I230">
        <v>3</v>
      </c>
      <c r="J230" t="s">
        <v>51</v>
      </c>
    </row>
    <row r="231" spans="1:10" x14ac:dyDescent="0.2">
      <c r="A231" t="s">
        <v>715</v>
      </c>
      <c r="B231" t="s">
        <v>716</v>
      </c>
      <c r="C231" t="s">
        <v>58</v>
      </c>
      <c r="D231" t="s">
        <v>63</v>
      </c>
      <c r="E231" t="s">
        <v>26</v>
      </c>
      <c r="F231" t="s">
        <v>717</v>
      </c>
      <c r="G231">
        <v>47467</v>
      </c>
      <c r="H231" t="s">
        <v>16</v>
      </c>
      <c r="I231">
        <v>10</v>
      </c>
      <c r="J231" t="s">
        <v>17</v>
      </c>
    </row>
    <row r="232" spans="1:10" x14ac:dyDescent="0.2">
      <c r="A232" t="s">
        <v>718</v>
      </c>
      <c r="B232" t="s">
        <v>719</v>
      </c>
      <c r="C232" t="s">
        <v>80</v>
      </c>
      <c r="D232" t="s">
        <v>59</v>
      </c>
      <c r="E232" t="s">
        <v>14</v>
      </c>
      <c r="F232" t="s">
        <v>720</v>
      </c>
      <c r="G232">
        <v>44288</v>
      </c>
      <c r="H232" t="s">
        <v>16</v>
      </c>
      <c r="I232">
        <v>5</v>
      </c>
      <c r="J232" t="s">
        <v>17</v>
      </c>
    </row>
    <row r="233" spans="1:10" x14ac:dyDescent="0.2">
      <c r="A233" t="s">
        <v>721</v>
      </c>
      <c r="B233" t="s">
        <v>722</v>
      </c>
      <c r="C233" t="s">
        <v>25</v>
      </c>
      <c r="D233" t="s">
        <v>59</v>
      </c>
      <c r="E233" t="s">
        <v>46</v>
      </c>
      <c r="F233" t="s">
        <v>267</v>
      </c>
      <c r="G233">
        <v>41936</v>
      </c>
      <c r="H233" t="s">
        <v>22</v>
      </c>
      <c r="I233">
        <v>1</v>
      </c>
      <c r="J233" t="s">
        <v>38</v>
      </c>
    </row>
    <row r="234" spans="1:10" x14ac:dyDescent="0.2">
      <c r="A234" t="s">
        <v>723</v>
      </c>
      <c r="B234" t="s">
        <v>724</v>
      </c>
      <c r="C234" t="s">
        <v>31</v>
      </c>
      <c r="D234" t="s">
        <v>13</v>
      </c>
      <c r="E234" t="s">
        <v>46</v>
      </c>
      <c r="F234" t="s">
        <v>725</v>
      </c>
      <c r="G234">
        <v>46334</v>
      </c>
      <c r="H234" t="s">
        <v>22</v>
      </c>
      <c r="I234">
        <v>9</v>
      </c>
      <c r="J234" t="s">
        <v>38</v>
      </c>
    </row>
    <row r="235" spans="1:10" x14ac:dyDescent="0.2">
      <c r="A235" t="s">
        <v>726</v>
      </c>
      <c r="B235" t="s">
        <v>727</v>
      </c>
      <c r="C235" t="s">
        <v>58</v>
      </c>
      <c r="D235" t="s">
        <v>20</v>
      </c>
      <c r="E235" t="s">
        <v>46</v>
      </c>
      <c r="F235" t="s">
        <v>728</v>
      </c>
      <c r="G235">
        <v>50552</v>
      </c>
      <c r="H235" t="s">
        <v>28</v>
      </c>
      <c r="I235">
        <v>5</v>
      </c>
      <c r="J235" t="s">
        <v>38</v>
      </c>
    </row>
    <row r="236" spans="1:10" x14ac:dyDescent="0.2">
      <c r="A236" t="s">
        <v>729</v>
      </c>
      <c r="B236" t="s">
        <v>730</v>
      </c>
      <c r="C236" t="s">
        <v>25</v>
      </c>
      <c r="D236" t="s">
        <v>13</v>
      </c>
      <c r="E236" t="s">
        <v>46</v>
      </c>
      <c r="F236" t="s">
        <v>731</v>
      </c>
      <c r="G236">
        <v>98841</v>
      </c>
      <c r="H236" t="s">
        <v>22</v>
      </c>
      <c r="I236">
        <v>2</v>
      </c>
      <c r="J236" t="s">
        <v>17</v>
      </c>
    </row>
    <row r="237" spans="1:10" x14ac:dyDescent="0.2">
      <c r="A237" t="s">
        <v>732</v>
      </c>
      <c r="B237" t="s">
        <v>733</v>
      </c>
      <c r="C237" t="s">
        <v>25</v>
      </c>
      <c r="D237" t="s">
        <v>59</v>
      </c>
      <c r="E237" t="s">
        <v>26</v>
      </c>
      <c r="F237" t="s">
        <v>734</v>
      </c>
      <c r="G237">
        <v>91804</v>
      </c>
      <c r="H237" t="s">
        <v>16</v>
      </c>
      <c r="I237">
        <v>10</v>
      </c>
      <c r="J237" t="s">
        <v>51</v>
      </c>
    </row>
    <row r="238" spans="1:10" x14ac:dyDescent="0.2">
      <c r="A238" t="s">
        <v>735</v>
      </c>
      <c r="B238" t="s">
        <v>736</v>
      </c>
      <c r="C238" t="s">
        <v>31</v>
      </c>
      <c r="D238" t="s">
        <v>54</v>
      </c>
      <c r="E238" t="s">
        <v>26</v>
      </c>
      <c r="F238" t="s">
        <v>737</v>
      </c>
      <c r="G238">
        <v>109122</v>
      </c>
      <c r="H238" t="s">
        <v>37</v>
      </c>
      <c r="I238">
        <v>1</v>
      </c>
      <c r="J238" t="s">
        <v>51</v>
      </c>
    </row>
    <row r="239" spans="1:10" x14ac:dyDescent="0.2">
      <c r="A239" t="s">
        <v>738</v>
      </c>
      <c r="B239" t="s">
        <v>739</v>
      </c>
      <c r="C239" t="s">
        <v>58</v>
      </c>
      <c r="D239" t="s">
        <v>63</v>
      </c>
      <c r="E239" t="s">
        <v>26</v>
      </c>
      <c r="F239" t="s">
        <v>740</v>
      </c>
      <c r="G239">
        <v>61880</v>
      </c>
      <c r="H239" t="s">
        <v>22</v>
      </c>
      <c r="I239">
        <v>2</v>
      </c>
      <c r="J239" t="s">
        <v>51</v>
      </c>
    </row>
    <row r="240" spans="1:10" x14ac:dyDescent="0.2">
      <c r="A240" t="s">
        <v>741</v>
      </c>
      <c r="B240" t="s">
        <v>742</v>
      </c>
      <c r="C240" t="s">
        <v>31</v>
      </c>
      <c r="D240" t="s">
        <v>54</v>
      </c>
      <c r="E240" t="s">
        <v>14</v>
      </c>
      <c r="F240" t="s">
        <v>743</v>
      </c>
      <c r="G240">
        <v>90146</v>
      </c>
      <c r="H240" t="s">
        <v>28</v>
      </c>
      <c r="I240">
        <v>5</v>
      </c>
      <c r="J240" t="s">
        <v>51</v>
      </c>
    </row>
    <row r="241" spans="1:10" x14ac:dyDescent="0.2">
      <c r="A241" t="s">
        <v>744</v>
      </c>
      <c r="B241" t="s">
        <v>745</v>
      </c>
      <c r="C241" t="s">
        <v>25</v>
      </c>
      <c r="D241" t="s">
        <v>13</v>
      </c>
      <c r="E241" t="s">
        <v>26</v>
      </c>
      <c r="F241" t="s">
        <v>746</v>
      </c>
      <c r="G241">
        <v>117926</v>
      </c>
      <c r="H241" t="s">
        <v>37</v>
      </c>
      <c r="I241">
        <v>10</v>
      </c>
      <c r="J241" t="s">
        <v>51</v>
      </c>
    </row>
    <row r="242" spans="1:10" x14ac:dyDescent="0.2">
      <c r="A242" t="s">
        <v>747</v>
      </c>
      <c r="B242" t="s">
        <v>748</v>
      </c>
      <c r="C242" t="s">
        <v>45</v>
      </c>
      <c r="D242" t="s">
        <v>20</v>
      </c>
      <c r="E242" t="s">
        <v>14</v>
      </c>
      <c r="F242" t="s">
        <v>749</v>
      </c>
      <c r="G242">
        <v>50354</v>
      </c>
      <c r="H242" t="s">
        <v>42</v>
      </c>
      <c r="I242">
        <v>2</v>
      </c>
      <c r="J242" t="s">
        <v>51</v>
      </c>
    </row>
    <row r="243" spans="1:10" x14ac:dyDescent="0.2">
      <c r="A243" t="s">
        <v>750</v>
      </c>
      <c r="B243" t="s">
        <v>751</v>
      </c>
      <c r="C243" t="s">
        <v>12</v>
      </c>
      <c r="D243" t="s">
        <v>20</v>
      </c>
      <c r="E243" t="s">
        <v>14</v>
      </c>
      <c r="F243" t="s">
        <v>752</v>
      </c>
      <c r="G243">
        <v>101192</v>
      </c>
      <c r="H243" t="s">
        <v>42</v>
      </c>
      <c r="I243">
        <v>7</v>
      </c>
      <c r="J243" t="s">
        <v>51</v>
      </c>
    </row>
    <row r="244" spans="1:10" x14ac:dyDescent="0.2">
      <c r="A244" t="s">
        <v>753</v>
      </c>
      <c r="B244" t="s">
        <v>754</v>
      </c>
      <c r="C244" t="s">
        <v>58</v>
      </c>
      <c r="D244" t="s">
        <v>59</v>
      </c>
      <c r="E244" t="s">
        <v>26</v>
      </c>
      <c r="F244" t="s">
        <v>279</v>
      </c>
      <c r="G244">
        <v>59506</v>
      </c>
      <c r="H244" t="s">
        <v>33</v>
      </c>
      <c r="I244">
        <v>9</v>
      </c>
      <c r="J244" t="s">
        <v>38</v>
      </c>
    </row>
    <row r="245" spans="1:10" x14ac:dyDescent="0.2">
      <c r="A245" t="s">
        <v>755</v>
      </c>
      <c r="B245" t="s">
        <v>756</v>
      </c>
      <c r="C245" t="s">
        <v>80</v>
      </c>
      <c r="D245" t="s">
        <v>20</v>
      </c>
      <c r="E245" t="s">
        <v>26</v>
      </c>
      <c r="F245" t="s">
        <v>757</v>
      </c>
      <c r="G245">
        <v>56067</v>
      </c>
      <c r="H245" t="s">
        <v>42</v>
      </c>
      <c r="I245">
        <v>4</v>
      </c>
      <c r="J245" t="s">
        <v>17</v>
      </c>
    </row>
    <row r="246" spans="1:10" x14ac:dyDescent="0.2">
      <c r="A246" t="s">
        <v>758</v>
      </c>
      <c r="B246" t="s">
        <v>759</v>
      </c>
      <c r="C246" t="s">
        <v>31</v>
      </c>
      <c r="D246" t="s">
        <v>59</v>
      </c>
      <c r="E246" t="s">
        <v>26</v>
      </c>
      <c r="F246" t="s">
        <v>760</v>
      </c>
      <c r="G246">
        <v>66861</v>
      </c>
      <c r="H246" t="s">
        <v>37</v>
      </c>
      <c r="I246">
        <v>1</v>
      </c>
      <c r="J246" t="s">
        <v>51</v>
      </c>
    </row>
    <row r="247" spans="1:10" x14ac:dyDescent="0.2">
      <c r="A247" t="s">
        <v>761</v>
      </c>
      <c r="B247" t="s">
        <v>762</v>
      </c>
      <c r="C247" t="s">
        <v>45</v>
      </c>
      <c r="D247" t="s">
        <v>63</v>
      </c>
      <c r="E247" t="s">
        <v>46</v>
      </c>
      <c r="F247" t="s">
        <v>763</v>
      </c>
      <c r="G247">
        <v>91105</v>
      </c>
      <c r="H247" t="s">
        <v>28</v>
      </c>
      <c r="I247">
        <v>9</v>
      </c>
      <c r="J247" t="s">
        <v>17</v>
      </c>
    </row>
    <row r="248" spans="1:10" x14ac:dyDescent="0.2">
      <c r="A248" t="s">
        <v>764</v>
      </c>
      <c r="B248" t="s">
        <v>765</v>
      </c>
      <c r="C248" t="s">
        <v>58</v>
      </c>
      <c r="D248" t="s">
        <v>20</v>
      </c>
      <c r="E248" t="s">
        <v>26</v>
      </c>
      <c r="F248" t="s">
        <v>766</v>
      </c>
      <c r="G248">
        <v>99911</v>
      </c>
      <c r="H248" t="s">
        <v>22</v>
      </c>
      <c r="I248">
        <v>4</v>
      </c>
      <c r="J248" t="s">
        <v>17</v>
      </c>
    </row>
    <row r="249" spans="1:10" x14ac:dyDescent="0.2">
      <c r="A249" t="s">
        <v>767</v>
      </c>
      <c r="B249" t="s">
        <v>768</v>
      </c>
      <c r="C249" t="s">
        <v>31</v>
      </c>
      <c r="D249" t="s">
        <v>20</v>
      </c>
      <c r="E249" t="s">
        <v>26</v>
      </c>
      <c r="F249" t="s">
        <v>769</v>
      </c>
      <c r="G249">
        <v>65587</v>
      </c>
      <c r="H249" t="s">
        <v>37</v>
      </c>
      <c r="I249">
        <v>9</v>
      </c>
      <c r="J249" t="s">
        <v>38</v>
      </c>
    </row>
    <row r="250" spans="1:10" x14ac:dyDescent="0.2">
      <c r="A250" t="s">
        <v>770</v>
      </c>
      <c r="B250" t="s">
        <v>771</v>
      </c>
      <c r="C250" t="s">
        <v>31</v>
      </c>
      <c r="D250" t="s">
        <v>13</v>
      </c>
      <c r="E250" t="s">
        <v>46</v>
      </c>
      <c r="F250" t="s">
        <v>772</v>
      </c>
      <c r="G250">
        <v>38092</v>
      </c>
      <c r="H250" t="s">
        <v>37</v>
      </c>
      <c r="I250">
        <v>5</v>
      </c>
      <c r="J250" t="s">
        <v>51</v>
      </c>
    </row>
    <row r="251" spans="1:10" x14ac:dyDescent="0.2">
      <c r="A251" t="s">
        <v>773</v>
      </c>
      <c r="B251" t="s">
        <v>774</v>
      </c>
      <c r="C251" t="s">
        <v>45</v>
      </c>
      <c r="D251" t="s">
        <v>63</v>
      </c>
      <c r="E251" t="s">
        <v>26</v>
      </c>
      <c r="F251" t="s">
        <v>775</v>
      </c>
      <c r="G251">
        <v>57798</v>
      </c>
      <c r="H251" t="s">
        <v>42</v>
      </c>
      <c r="I251">
        <v>6</v>
      </c>
      <c r="J251" t="s">
        <v>17</v>
      </c>
    </row>
    <row r="252" spans="1:10" x14ac:dyDescent="0.2">
      <c r="A252" t="s">
        <v>776</v>
      </c>
      <c r="B252" t="s">
        <v>777</v>
      </c>
      <c r="C252" t="s">
        <v>25</v>
      </c>
      <c r="D252" t="s">
        <v>63</v>
      </c>
      <c r="E252" t="s">
        <v>26</v>
      </c>
      <c r="F252" t="s">
        <v>778</v>
      </c>
      <c r="G252">
        <v>45732</v>
      </c>
      <c r="H252" t="s">
        <v>22</v>
      </c>
      <c r="I252">
        <v>8</v>
      </c>
      <c r="J252" t="s">
        <v>38</v>
      </c>
    </row>
    <row r="253" spans="1:10" x14ac:dyDescent="0.2">
      <c r="A253" t="s">
        <v>779</v>
      </c>
      <c r="B253" t="s">
        <v>780</v>
      </c>
      <c r="C253" t="s">
        <v>58</v>
      </c>
      <c r="D253" t="s">
        <v>13</v>
      </c>
      <c r="E253" t="s">
        <v>46</v>
      </c>
      <c r="F253" t="s">
        <v>781</v>
      </c>
      <c r="G253">
        <v>59338</v>
      </c>
      <c r="H253" t="s">
        <v>33</v>
      </c>
      <c r="I253">
        <v>7</v>
      </c>
      <c r="J253" t="s">
        <v>17</v>
      </c>
    </row>
    <row r="254" spans="1:10" x14ac:dyDescent="0.2">
      <c r="A254" t="s">
        <v>782</v>
      </c>
      <c r="B254" t="s">
        <v>783</v>
      </c>
      <c r="C254" t="s">
        <v>45</v>
      </c>
      <c r="D254" t="s">
        <v>54</v>
      </c>
      <c r="E254" t="s">
        <v>46</v>
      </c>
      <c r="F254" t="s">
        <v>784</v>
      </c>
      <c r="G254">
        <v>67281</v>
      </c>
      <c r="H254" t="s">
        <v>28</v>
      </c>
      <c r="I254">
        <v>6</v>
      </c>
      <c r="J254" t="s">
        <v>51</v>
      </c>
    </row>
    <row r="255" spans="1:10" x14ac:dyDescent="0.2">
      <c r="A255" t="s">
        <v>785</v>
      </c>
      <c r="B255" t="s">
        <v>786</v>
      </c>
      <c r="C255" t="s">
        <v>25</v>
      </c>
      <c r="D255" t="s">
        <v>63</v>
      </c>
      <c r="E255" t="s">
        <v>26</v>
      </c>
      <c r="F255" t="s">
        <v>787</v>
      </c>
      <c r="G255">
        <v>65983</v>
      </c>
      <c r="H255" t="s">
        <v>22</v>
      </c>
      <c r="I255">
        <v>6</v>
      </c>
      <c r="J255" t="s">
        <v>38</v>
      </c>
    </row>
    <row r="256" spans="1:10" x14ac:dyDescent="0.2">
      <c r="A256" t="s">
        <v>788</v>
      </c>
      <c r="B256" t="s">
        <v>789</v>
      </c>
      <c r="C256" t="s">
        <v>31</v>
      </c>
      <c r="D256" t="s">
        <v>54</v>
      </c>
      <c r="E256" t="s">
        <v>26</v>
      </c>
      <c r="F256" t="s">
        <v>790</v>
      </c>
      <c r="G256">
        <v>109054</v>
      </c>
      <c r="H256" t="s">
        <v>33</v>
      </c>
      <c r="I256">
        <v>7</v>
      </c>
      <c r="J256" t="s">
        <v>51</v>
      </c>
    </row>
    <row r="257" spans="1:10" x14ac:dyDescent="0.2">
      <c r="A257" t="s">
        <v>791</v>
      </c>
      <c r="B257" t="s">
        <v>792</v>
      </c>
      <c r="C257" t="s">
        <v>45</v>
      </c>
      <c r="D257" t="s">
        <v>59</v>
      </c>
      <c r="E257" t="s">
        <v>46</v>
      </c>
      <c r="F257" t="s">
        <v>596</v>
      </c>
      <c r="G257">
        <v>30804</v>
      </c>
      <c r="H257" t="s">
        <v>37</v>
      </c>
      <c r="I257">
        <v>5</v>
      </c>
      <c r="J257" t="s">
        <v>51</v>
      </c>
    </row>
    <row r="258" spans="1:10" x14ac:dyDescent="0.2">
      <c r="A258" t="s">
        <v>793</v>
      </c>
      <c r="B258" t="s">
        <v>794</v>
      </c>
      <c r="C258" t="s">
        <v>12</v>
      </c>
      <c r="D258" t="s">
        <v>20</v>
      </c>
      <c r="E258" t="s">
        <v>26</v>
      </c>
      <c r="F258" t="s">
        <v>795</v>
      </c>
      <c r="G258">
        <v>63551</v>
      </c>
      <c r="H258" t="s">
        <v>22</v>
      </c>
      <c r="I258">
        <v>6</v>
      </c>
      <c r="J258" t="s">
        <v>51</v>
      </c>
    </row>
    <row r="259" spans="1:10" x14ac:dyDescent="0.2">
      <c r="A259" t="s">
        <v>796</v>
      </c>
      <c r="B259" t="s">
        <v>797</v>
      </c>
      <c r="C259" t="s">
        <v>25</v>
      </c>
      <c r="D259" t="s">
        <v>59</v>
      </c>
      <c r="E259" t="s">
        <v>26</v>
      </c>
      <c r="F259" t="s">
        <v>246</v>
      </c>
      <c r="G259">
        <v>61991</v>
      </c>
      <c r="H259" t="s">
        <v>33</v>
      </c>
      <c r="I259">
        <v>2</v>
      </c>
      <c r="J259" t="s">
        <v>17</v>
      </c>
    </row>
    <row r="260" spans="1:10" x14ac:dyDescent="0.2">
      <c r="A260" t="s">
        <v>798</v>
      </c>
      <c r="B260" t="s">
        <v>799</v>
      </c>
      <c r="C260" t="s">
        <v>80</v>
      </c>
      <c r="D260" t="s">
        <v>20</v>
      </c>
      <c r="E260" t="s">
        <v>26</v>
      </c>
      <c r="F260" t="s">
        <v>800</v>
      </c>
      <c r="G260">
        <v>41716</v>
      </c>
      <c r="H260" t="s">
        <v>37</v>
      </c>
      <c r="I260">
        <v>9</v>
      </c>
      <c r="J260" t="s">
        <v>38</v>
      </c>
    </row>
    <row r="261" spans="1:10" x14ac:dyDescent="0.2">
      <c r="A261" t="s">
        <v>801</v>
      </c>
      <c r="B261" t="s">
        <v>802</v>
      </c>
      <c r="C261" t="s">
        <v>25</v>
      </c>
      <c r="D261" t="s">
        <v>59</v>
      </c>
      <c r="E261" t="s">
        <v>26</v>
      </c>
      <c r="F261" t="s">
        <v>734</v>
      </c>
      <c r="G261">
        <v>73071</v>
      </c>
      <c r="H261" t="s">
        <v>22</v>
      </c>
      <c r="I261">
        <v>0</v>
      </c>
      <c r="J261" t="s">
        <v>38</v>
      </c>
    </row>
    <row r="262" spans="1:10" x14ac:dyDescent="0.2">
      <c r="A262" t="s">
        <v>803</v>
      </c>
      <c r="B262" t="s">
        <v>804</v>
      </c>
      <c r="C262" t="s">
        <v>25</v>
      </c>
      <c r="D262" t="s">
        <v>54</v>
      </c>
      <c r="E262" t="s">
        <v>46</v>
      </c>
      <c r="F262" t="s">
        <v>805</v>
      </c>
      <c r="G262">
        <v>38664</v>
      </c>
      <c r="H262" t="s">
        <v>16</v>
      </c>
      <c r="I262">
        <v>2</v>
      </c>
      <c r="J262" t="s">
        <v>38</v>
      </c>
    </row>
    <row r="263" spans="1:10" x14ac:dyDescent="0.2">
      <c r="A263" t="s">
        <v>806</v>
      </c>
      <c r="B263" t="s">
        <v>807</v>
      </c>
      <c r="C263" t="s">
        <v>25</v>
      </c>
      <c r="D263" t="s">
        <v>20</v>
      </c>
      <c r="E263" t="s">
        <v>14</v>
      </c>
      <c r="F263" t="s">
        <v>808</v>
      </c>
      <c r="G263">
        <v>99999</v>
      </c>
      <c r="H263" t="s">
        <v>42</v>
      </c>
      <c r="I263">
        <v>6</v>
      </c>
      <c r="J263" t="s">
        <v>51</v>
      </c>
    </row>
    <row r="264" spans="1:10" x14ac:dyDescent="0.2">
      <c r="A264" t="s">
        <v>809</v>
      </c>
      <c r="B264" t="s">
        <v>810</v>
      </c>
      <c r="C264" t="s">
        <v>25</v>
      </c>
      <c r="D264" t="s">
        <v>63</v>
      </c>
      <c r="E264" t="s">
        <v>14</v>
      </c>
      <c r="F264" t="s">
        <v>811</v>
      </c>
      <c r="G264">
        <v>59667</v>
      </c>
      <c r="H264" t="s">
        <v>37</v>
      </c>
      <c r="I264">
        <v>7</v>
      </c>
      <c r="J264" t="s">
        <v>51</v>
      </c>
    </row>
    <row r="265" spans="1:10" x14ac:dyDescent="0.2">
      <c r="A265" t="s">
        <v>812</v>
      </c>
      <c r="B265" t="s">
        <v>813</v>
      </c>
      <c r="C265" t="s">
        <v>25</v>
      </c>
      <c r="D265" t="s">
        <v>63</v>
      </c>
      <c r="E265" t="s">
        <v>14</v>
      </c>
      <c r="F265" t="s">
        <v>267</v>
      </c>
      <c r="G265">
        <v>99752</v>
      </c>
      <c r="H265" t="s">
        <v>16</v>
      </c>
      <c r="I265">
        <v>1</v>
      </c>
      <c r="J265" t="s">
        <v>51</v>
      </c>
    </row>
    <row r="266" spans="1:10" x14ac:dyDescent="0.2">
      <c r="A266" t="s">
        <v>814</v>
      </c>
      <c r="B266" t="s">
        <v>815</v>
      </c>
      <c r="C266" t="s">
        <v>12</v>
      </c>
      <c r="D266" t="s">
        <v>54</v>
      </c>
      <c r="E266" t="s">
        <v>46</v>
      </c>
      <c r="F266" t="s">
        <v>816</v>
      </c>
      <c r="G266">
        <v>116376</v>
      </c>
      <c r="H266" t="s">
        <v>77</v>
      </c>
      <c r="I266">
        <v>7</v>
      </c>
      <c r="J266" t="s">
        <v>51</v>
      </c>
    </row>
    <row r="267" spans="1:10" x14ac:dyDescent="0.2">
      <c r="A267" t="s">
        <v>817</v>
      </c>
      <c r="B267" t="s">
        <v>818</v>
      </c>
      <c r="C267" t="s">
        <v>25</v>
      </c>
      <c r="D267" t="s">
        <v>59</v>
      </c>
      <c r="E267" t="s">
        <v>46</v>
      </c>
      <c r="F267" t="s">
        <v>819</v>
      </c>
      <c r="G267">
        <v>111378</v>
      </c>
      <c r="H267" t="s">
        <v>16</v>
      </c>
      <c r="I267">
        <v>0</v>
      </c>
      <c r="J267" t="s">
        <v>17</v>
      </c>
    </row>
    <row r="268" spans="1:10" x14ac:dyDescent="0.2">
      <c r="A268" t="s">
        <v>820</v>
      </c>
      <c r="B268" t="s">
        <v>821</v>
      </c>
      <c r="C268" t="s">
        <v>80</v>
      </c>
      <c r="D268" t="s">
        <v>13</v>
      </c>
      <c r="E268" t="s">
        <v>26</v>
      </c>
      <c r="F268" t="s">
        <v>822</v>
      </c>
      <c r="G268">
        <v>96769</v>
      </c>
      <c r="H268" t="s">
        <v>37</v>
      </c>
      <c r="I268">
        <v>10</v>
      </c>
      <c r="J268" t="s">
        <v>51</v>
      </c>
    </row>
    <row r="269" spans="1:10" x14ac:dyDescent="0.2">
      <c r="A269" t="s">
        <v>823</v>
      </c>
      <c r="B269" t="s">
        <v>824</v>
      </c>
      <c r="C269" t="s">
        <v>45</v>
      </c>
      <c r="D269" t="s">
        <v>54</v>
      </c>
      <c r="E269" t="s">
        <v>46</v>
      </c>
      <c r="F269" t="s">
        <v>386</v>
      </c>
      <c r="G269">
        <v>40556</v>
      </c>
      <c r="H269" t="s">
        <v>16</v>
      </c>
      <c r="I269">
        <v>10</v>
      </c>
      <c r="J269" t="s">
        <v>51</v>
      </c>
    </row>
    <row r="270" spans="1:10" x14ac:dyDescent="0.2">
      <c r="A270" t="s">
        <v>825</v>
      </c>
      <c r="B270" t="s">
        <v>826</v>
      </c>
      <c r="C270" t="s">
        <v>31</v>
      </c>
      <c r="D270" t="s">
        <v>63</v>
      </c>
      <c r="E270" t="s">
        <v>26</v>
      </c>
      <c r="F270" t="s">
        <v>827</v>
      </c>
      <c r="G270">
        <v>92949</v>
      </c>
      <c r="H270" t="s">
        <v>33</v>
      </c>
      <c r="I270">
        <v>4</v>
      </c>
      <c r="J270" t="s">
        <v>51</v>
      </c>
    </row>
    <row r="271" spans="1:10" x14ac:dyDescent="0.2">
      <c r="A271" t="s">
        <v>828</v>
      </c>
      <c r="B271" t="s">
        <v>829</v>
      </c>
      <c r="C271" t="s">
        <v>80</v>
      </c>
      <c r="D271" t="s">
        <v>54</v>
      </c>
      <c r="E271" t="s">
        <v>46</v>
      </c>
      <c r="F271" t="s">
        <v>830</v>
      </c>
      <c r="G271">
        <v>54557</v>
      </c>
      <c r="H271" t="s">
        <v>37</v>
      </c>
      <c r="I271">
        <v>7</v>
      </c>
      <c r="J271" t="s">
        <v>38</v>
      </c>
    </row>
    <row r="272" spans="1:10" x14ac:dyDescent="0.2">
      <c r="A272" t="s">
        <v>831</v>
      </c>
      <c r="B272" t="s">
        <v>832</v>
      </c>
      <c r="C272" t="s">
        <v>80</v>
      </c>
      <c r="D272" t="s">
        <v>13</v>
      </c>
      <c r="E272" t="s">
        <v>26</v>
      </c>
      <c r="F272" t="s">
        <v>833</v>
      </c>
      <c r="G272">
        <v>76164</v>
      </c>
      <c r="H272" t="s">
        <v>28</v>
      </c>
      <c r="I272">
        <v>1</v>
      </c>
      <c r="J272" t="s">
        <v>51</v>
      </c>
    </row>
    <row r="273" spans="1:10" x14ac:dyDescent="0.2">
      <c r="A273" t="s">
        <v>834</v>
      </c>
      <c r="B273" t="s">
        <v>835</v>
      </c>
      <c r="C273" t="s">
        <v>25</v>
      </c>
      <c r="D273" t="s">
        <v>59</v>
      </c>
      <c r="E273" t="s">
        <v>46</v>
      </c>
      <c r="F273" t="s">
        <v>836</v>
      </c>
      <c r="G273">
        <v>48953</v>
      </c>
      <c r="H273" t="s">
        <v>22</v>
      </c>
      <c r="I273">
        <v>8</v>
      </c>
      <c r="J273" t="s">
        <v>51</v>
      </c>
    </row>
    <row r="274" spans="1:10" x14ac:dyDescent="0.2">
      <c r="A274" t="s">
        <v>837</v>
      </c>
      <c r="B274" t="s">
        <v>838</v>
      </c>
      <c r="C274" t="s">
        <v>45</v>
      </c>
      <c r="D274" t="s">
        <v>13</v>
      </c>
      <c r="E274" t="s">
        <v>14</v>
      </c>
      <c r="F274" t="s">
        <v>839</v>
      </c>
      <c r="G274">
        <v>118535</v>
      </c>
      <c r="H274" t="s">
        <v>37</v>
      </c>
      <c r="I274">
        <v>0</v>
      </c>
      <c r="J274" t="s">
        <v>17</v>
      </c>
    </row>
    <row r="275" spans="1:10" x14ac:dyDescent="0.2">
      <c r="A275" t="s">
        <v>840</v>
      </c>
      <c r="B275" t="s">
        <v>841</v>
      </c>
      <c r="C275" t="s">
        <v>31</v>
      </c>
      <c r="D275" t="s">
        <v>63</v>
      </c>
      <c r="E275" t="s">
        <v>14</v>
      </c>
      <c r="F275" t="s">
        <v>842</v>
      </c>
      <c r="G275">
        <v>95520</v>
      </c>
      <c r="H275" t="s">
        <v>22</v>
      </c>
      <c r="I275">
        <v>6</v>
      </c>
      <c r="J275" t="s">
        <v>17</v>
      </c>
    </row>
    <row r="276" spans="1:10" x14ac:dyDescent="0.2">
      <c r="A276" t="s">
        <v>843</v>
      </c>
      <c r="B276" t="s">
        <v>844</v>
      </c>
      <c r="C276" t="s">
        <v>45</v>
      </c>
      <c r="D276" t="s">
        <v>54</v>
      </c>
      <c r="E276" t="s">
        <v>26</v>
      </c>
      <c r="F276" t="s">
        <v>845</v>
      </c>
      <c r="G276">
        <v>109745</v>
      </c>
      <c r="H276" t="s">
        <v>33</v>
      </c>
      <c r="I276">
        <v>9</v>
      </c>
      <c r="J276" t="s">
        <v>38</v>
      </c>
    </row>
    <row r="277" spans="1:10" x14ac:dyDescent="0.2">
      <c r="A277" t="s">
        <v>846</v>
      </c>
      <c r="B277" t="s">
        <v>847</v>
      </c>
      <c r="C277" t="s">
        <v>80</v>
      </c>
      <c r="D277" t="s">
        <v>54</v>
      </c>
      <c r="E277" t="s">
        <v>14</v>
      </c>
      <c r="F277" t="s">
        <v>848</v>
      </c>
      <c r="G277">
        <v>107838</v>
      </c>
      <c r="H277" t="s">
        <v>28</v>
      </c>
      <c r="I277">
        <v>3</v>
      </c>
      <c r="J277" t="s">
        <v>51</v>
      </c>
    </row>
    <row r="278" spans="1:10" x14ac:dyDescent="0.2">
      <c r="A278" t="s">
        <v>849</v>
      </c>
      <c r="B278" t="s">
        <v>850</v>
      </c>
      <c r="C278" t="s">
        <v>25</v>
      </c>
      <c r="D278" t="s">
        <v>63</v>
      </c>
      <c r="E278" t="s">
        <v>26</v>
      </c>
      <c r="F278" t="s">
        <v>851</v>
      </c>
      <c r="G278">
        <v>96159</v>
      </c>
      <c r="H278" t="s">
        <v>42</v>
      </c>
      <c r="I278">
        <v>5</v>
      </c>
      <c r="J278" t="s">
        <v>17</v>
      </c>
    </row>
    <row r="279" spans="1:10" x14ac:dyDescent="0.2">
      <c r="A279" t="s">
        <v>852</v>
      </c>
      <c r="B279" t="s">
        <v>853</v>
      </c>
      <c r="C279" t="s">
        <v>25</v>
      </c>
      <c r="D279" t="s">
        <v>63</v>
      </c>
      <c r="E279" t="s">
        <v>46</v>
      </c>
      <c r="F279" t="s">
        <v>854</v>
      </c>
      <c r="G279">
        <v>100516</v>
      </c>
      <c r="H279" t="s">
        <v>33</v>
      </c>
      <c r="I279">
        <v>0</v>
      </c>
      <c r="J279" t="s">
        <v>17</v>
      </c>
    </row>
    <row r="280" spans="1:10" x14ac:dyDescent="0.2">
      <c r="A280" t="s">
        <v>855</v>
      </c>
      <c r="B280" t="s">
        <v>856</v>
      </c>
      <c r="C280" t="s">
        <v>80</v>
      </c>
      <c r="D280" t="s">
        <v>59</v>
      </c>
      <c r="E280" t="s">
        <v>46</v>
      </c>
      <c r="F280" t="s">
        <v>857</v>
      </c>
      <c r="G280">
        <v>99729</v>
      </c>
      <c r="H280" t="s">
        <v>42</v>
      </c>
      <c r="I280">
        <v>0</v>
      </c>
      <c r="J280" t="s">
        <v>17</v>
      </c>
    </row>
    <row r="281" spans="1:10" x14ac:dyDescent="0.2">
      <c r="A281" t="s">
        <v>858</v>
      </c>
      <c r="B281" t="s">
        <v>859</v>
      </c>
      <c r="C281" t="s">
        <v>31</v>
      </c>
      <c r="D281" t="s">
        <v>20</v>
      </c>
      <c r="E281" t="s">
        <v>46</v>
      </c>
      <c r="F281" t="s">
        <v>860</v>
      </c>
      <c r="G281">
        <v>70153</v>
      </c>
      <c r="H281" t="s">
        <v>37</v>
      </c>
      <c r="I281">
        <v>3</v>
      </c>
      <c r="J281" t="s">
        <v>51</v>
      </c>
    </row>
    <row r="282" spans="1:10" x14ac:dyDescent="0.2">
      <c r="A282" t="s">
        <v>861</v>
      </c>
      <c r="B282" t="s">
        <v>862</v>
      </c>
      <c r="C282" t="s">
        <v>31</v>
      </c>
      <c r="D282" t="s">
        <v>59</v>
      </c>
      <c r="E282" t="s">
        <v>26</v>
      </c>
      <c r="F282" t="s">
        <v>863</v>
      </c>
      <c r="G282">
        <v>77085</v>
      </c>
      <c r="H282" t="s">
        <v>37</v>
      </c>
      <c r="I282">
        <v>10</v>
      </c>
      <c r="J282" t="s">
        <v>51</v>
      </c>
    </row>
    <row r="283" spans="1:10" x14ac:dyDescent="0.2">
      <c r="A283" t="s">
        <v>864</v>
      </c>
      <c r="B283" t="s">
        <v>865</v>
      </c>
      <c r="C283" t="s">
        <v>12</v>
      </c>
      <c r="D283" t="s">
        <v>20</v>
      </c>
      <c r="E283" t="s">
        <v>26</v>
      </c>
      <c r="F283" t="s">
        <v>866</v>
      </c>
      <c r="G283">
        <v>109065</v>
      </c>
      <c r="H283" t="s">
        <v>16</v>
      </c>
      <c r="I283">
        <v>10</v>
      </c>
      <c r="J283" t="s">
        <v>51</v>
      </c>
    </row>
    <row r="284" spans="1:10" x14ac:dyDescent="0.2">
      <c r="A284" t="s">
        <v>867</v>
      </c>
      <c r="B284" t="s">
        <v>868</v>
      </c>
      <c r="C284" t="s">
        <v>25</v>
      </c>
      <c r="D284" t="s">
        <v>63</v>
      </c>
      <c r="E284" t="s">
        <v>14</v>
      </c>
      <c r="F284" t="s">
        <v>869</v>
      </c>
      <c r="G284">
        <v>102754</v>
      </c>
      <c r="H284" t="s">
        <v>16</v>
      </c>
      <c r="I284">
        <v>1</v>
      </c>
      <c r="J284" t="s">
        <v>51</v>
      </c>
    </row>
    <row r="285" spans="1:10" x14ac:dyDescent="0.2">
      <c r="A285" t="s">
        <v>870</v>
      </c>
      <c r="B285" t="s">
        <v>871</v>
      </c>
      <c r="C285" t="s">
        <v>58</v>
      </c>
      <c r="D285" t="s">
        <v>59</v>
      </c>
      <c r="E285" t="s">
        <v>26</v>
      </c>
      <c r="F285" t="s">
        <v>872</v>
      </c>
      <c r="G285">
        <v>42342</v>
      </c>
      <c r="H285" t="s">
        <v>16</v>
      </c>
      <c r="I285">
        <v>1</v>
      </c>
      <c r="J285" t="s">
        <v>17</v>
      </c>
    </row>
    <row r="286" spans="1:10" x14ac:dyDescent="0.2">
      <c r="A286" t="s">
        <v>873</v>
      </c>
      <c r="B286" t="s">
        <v>874</v>
      </c>
      <c r="C286" t="s">
        <v>31</v>
      </c>
      <c r="D286" t="s">
        <v>54</v>
      </c>
      <c r="E286" t="s">
        <v>26</v>
      </c>
      <c r="F286" t="s">
        <v>875</v>
      </c>
      <c r="G286">
        <v>53804</v>
      </c>
      <c r="H286" t="s">
        <v>42</v>
      </c>
      <c r="I286">
        <v>1</v>
      </c>
      <c r="J286" t="s">
        <v>51</v>
      </c>
    </row>
    <row r="287" spans="1:10" x14ac:dyDescent="0.2">
      <c r="A287" t="s">
        <v>876</v>
      </c>
      <c r="B287" t="s">
        <v>877</v>
      </c>
      <c r="C287" t="s">
        <v>58</v>
      </c>
      <c r="D287" t="s">
        <v>59</v>
      </c>
      <c r="E287" t="s">
        <v>46</v>
      </c>
      <c r="F287" t="s">
        <v>878</v>
      </c>
      <c r="G287">
        <v>93471</v>
      </c>
      <c r="H287" t="s">
        <v>77</v>
      </c>
      <c r="I287">
        <v>5</v>
      </c>
      <c r="J287" t="s">
        <v>38</v>
      </c>
    </row>
    <row r="288" spans="1:10" x14ac:dyDescent="0.2">
      <c r="A288" t="s">
        <v>879</v>
      </c>
      <c r="B288" t="s">
        <v>880</v>
      </c>
      <c r="C288" t="s">
        <v>31</v>
      </c>
      <c r="D288" t="s">
        <v>54</v>
      </c>
      <c r="E288" t="s">
        <v>14</v>
      </c>
      <c r="F288" t="s">
        <v>881</v>
      </c>
      <c r="G288">
        <v>58438</v>
      </c>
      <c r="H288" t="s">
        <v>22</v>
      </c>
      <c r="I288">
        <v>6</v>
      </c>
      <c r="J288" t="s">
        <v>38</v>
      </c>
    </row>
    <row r="289" spans="1:10" x14ac:dyDescent="0.2">
      <c r="A289" t="s">
        <v>882</v>
      </c>
      <c r="B289" t="s">
        <v>883</v>
      </c>
      <c r="C289" t="s">
        <v>58</v>
      </c>
      <c r="D289" t="s">
        <v>63</v>
      </c>
      <c r="E289" t="s">
        <v>46</v>
      </c>
      <c r="F289" t="s">
        <v>174</v>
      </c>
      <c r="G289">
        <v>93907</v>
      </c>
      <c r="H289" t="s">
        <v>28</v>
      </c>
      <c r="I289">
        <v>10</v>
      </c>
      <c r="J289" t="s">
        <v>17</v>
      </c>
    </row>
    <row r="290" spans="1:10" x14ac:dyDescent="0.2">
      <c r="A290" t="s">
        <v>884</v>
      </c>
      <c r="B290" t="s">
        <v>885</v>
      </c>
      <c r="C290" t="s">
        <v>12</v>
      </c>
      <c r="D290" t="s">
        <v>13</v>
      </c>
      <c r="E290" t="s">
        <v>14</v>
      </c>
      <c r="F290" t="s">
        <v>886</v>
      </c>
      <c r="G290">
        <v>68563</v>
      </c>
      <c r="H290" t="s">
        <v>42</v>
      </c>
      <c r="I290">
        <v>8</v>
      </c>
      <c r="J290" t="s">
        <v>51</v>
      </c>
    </row>
    <row r="291" spans="1:10" x14ac:dyDescent="0.2">
      <c r="A291" t="s">
        <v>887</v>
      </c>
      <c r="B291" t="s">
        <v>888</v>
      </c>
      <c r="C291" t="s">
        <v>31</v>
      </c>
      <c r="D291" t="s">
        <v>54</v>
      </c>
      <c r="E291" t="s">
        <v>46</v>
      </c>
      <c r="F291" t="s">
        <v>889</v>
      </c>
      <c r="G291">
        <v>112545</v>
      </c>
      <c r="H291" t="s">
        <v>28</v>
      </c>
      <c r="I291">
        <v>6</v>
      </c>
      <c r="J291" t="s">
        <v>17</v>
      </c>
    </row>
    <row r="292" spans="1:10" x14ac:dyDescent="0.2">
      <c r="A292" t="s">
        <v>890</v>
      </c>
      <c r="B292" t="s">
        <v>891</v>
      </c>
      <c r="C292" t="s">
        <v>80</v>
      </c>
      <c r="D292" t="s">
        <v>63</v>
      </c>
      <c r="E292" t="s">
        <v>26</v>
      </c>
      <c r="F292" t="s">
        <v>892</v>
      </c>
      <c r="G292">
        <v>51592</v>
      </c>
      <c r="H292" t="s">
        <v>22</v>
      </c>
      <c r="I292">
        <v>0</v>
      </c>
      <c r="J292" t="s">
        <v>38</v>
      </c>
    </row>
    <row r="293" spans="1:10" x14ac:dyDescent="0.2">
      <c r="A293" t="s">
        <v>893</v>
      </c>
      <c r="B293" t="s">
        <v>894</v>
      </c>
      <c r="C293" t="s">
        <v>31</v>
      </c>
      <c r="D293" t="s">
        <v>54</v>
      </c>
      <c r="E293" t="s">
        <v>26</v>
      </c>
      <c r="F293" t="s">
        <v>895</v>
      </c>
      <c r="G293">
        <v>46261</v>
      </c>
      <c r="H293" t="s">
        <v>33</v>
      </c>
      <c r="I293">
        <v>9</v>
      </c>
      <c r="J293" t="s">
        <v>51</v>
      </c>
    </row>
    <row r="294" spans="1:10" x14ac:dyDescent="0.2">
      <c r="A294" t="s">
        <v>896</v>
      </c>
      <c r="B294" t="s">
        <v>897</v>
      </c>
      <c r="C294" t="s">
        <v>25</v>
      </c>
      <c r="D294" t="s">
        <v>63</v>
      </c>
      <c r="E294" t="s">
        <v>26</v>
      </c>
      <c r="F294" t="s">
        <v>898</v>
      </c>
      <c r="G294">
        <v>80061</v>
      </c>
      <c r="H294" t="s">
        <v>77</v>
      </c>
      <c r="I294">
        <v>4</v>
      </c>
      <c r="J294" t="s">
        <v>51</v>
      </c>
    </row>
    <row r="295" spans="1:10" x14ac:dyDescent="0.2">
      <c r="A295" t="s">
        <v>899</v>
      </c>
      <c r="B295" t="s">
        <v>900</v>
      </c>
      <c r="C295" t="s">
        <v>31</v>
      </c>
      <c r="D295" t="s">
        <v>13</v>
      </c>
      <c r="E295" t="s">
        <v>46</v>
      </c>
      <c r="F295" t="s">
        <v>901</v>
      </c>
      <c r="G295">
        <v>47603</v>
      </c>
      <c r="H295" t="s">
        <v>77</v>
      </c>
      <c r="I295">
        <v>10</v>
      </c>
      <c r="J295" t="s">
        <v>51</v>
      </c>
    </row>
    <row r="296" spans="1:10" x14ac:dyDescent="0.2">
      <c r="A296" t="s">
        <v>902</v>
      </c>
      <c r="B296" t="s">
        <v>903</v>
      </c>
      <c r="C296" t="s">
        <v>80</v>
      </c>
      <c r="D296" t="s">
        <v>54</v>
      </c>
      <c r="E296" t="s">
        <v>14</v>
      </c>
      <c r="F296" t="s">
        <v>904</v>
      </c>
      <c r="G296">
        <v>70744</v>
      </c>
      <c r="H296" t="s">
        <v>77</v>
      </c>
      <c r="I296">
        <v>5</v>
      </c>
      <c r="J296" t="s">
        <v>38</v>
      </c>
    </row>
    <row r="297" spans="1:10" x14ac:dyDescent="0.2">
      <c r="A297" t="s">
        <v>905</v>
      </c>
      <c r="B297" t="s">
        <v>906</v>
      </c>
      <c r="C297" t="s">
        <v>31</v>
      </c>
      <c r="D297" t="s">
        <v>54</v>
      </c>
      <c r="E297" t="s">
        <v>14</v>
      </c>
      <c r="F297" t="s">
        <v>907</v>
      </c>
      <c r="G297">
        <v>50349</v>
      </c>
      <c r="H297" t="s">
        <v>33</v>
      </c>
      <c r="I297">
        <v>3</v>
      </c>
      <c r="J297" t="s">
        <v>17</v>
      </c>
    </row>
    <row r="298" spans="1:10" x14ac:dyDescent="0.2">
      <c r="A298" t="s">
        <v>908</v>
      </c>
      <c r="B298" t="s">
        <v>909</v>
      </c>
      <c r="C298" t="s">
        <v>45</v>
      </c>
      <c r="D298" t="s">
        <v>13</v>
      </c>
      <c r="E298" t="s">
        <v>14</v>
      </c>
      <c r="F298" t="s">
        <v>910</v>
      </c>
      <c r="G298">
        <v>76360</v>
      </c>
      <c r="H298" t="s">
        <v>22</v>
      </c>
      <c r="I298">
        <v>5</v>
      </c>
      <c r="J298" t="s">
        <v>51</v>
      </c>
    </row>
    <row r="299" spans="1:10" x14ac:dyDescent="0.2">
      <c r="A299" t="s">
        <v>911</v>
      </c>
      <c r="B299" t="s">
        <v>912</v>
      </c>
      <c r="C299" t="s">
        <v>58</v>
      </c>
      <c r="D299" t="s">
        <v>13</v>
      </c>
      <c r="E299" t="s">
        <v>46</v>
      </c>
      <c r="F299" t="s">
        <v>913</v>
      </c>
      <c r="G299">
        <v>61520</v>
      </c>
      <c r="H299" t="s">
        <v>37</v>
      </c>
      <c r="I299">
        <v>8</v>
      </c>
      <c r="J299" t="s">
        <v>51</v>
      </c>
    </row>
    <row r="300" spans="1:10" x14ac:dyDescent="0.2">
      <c r="A300" t="s">
        <v>914</v>
      </c>
      <c r="B300" t="s">
        <v>915</v>
      </c>
      <c r="C300" t="s">
        <v>45</v>
      </c>
      <c r="D300" t="s">
        <v>63</v>
      </c>
      <c r="E300" t="s">
        <v>46</v>
      </c>
      <c r="F300" t="s">
        <v>916</v>
      </c>
      <c r="G300">
        <v>104114</v>
      </c>
      <c r="H300" t="s">
        <v>77</v>
      </c>
      <c r="I300">
        <v>7</v>
      </c>
      <c r="J300" t="s">
        <v>51</v>
      </c>
    </row>
    <row r="301" spans="1:10" x14ac:dyDescent="0.2">
      <c r="A301" t="s">
        <v>917</v>
      </c>
      <c r="B301" t="s">
        <v>918</v>
      </c>
      <c r="C301" t="s">
        <v>58</v>
      </c>
      <c r="D301" t="s">
        <v>59</v>
      </c>
      <c r="E301" t="s">
        <v>46</v>
      </c>
      <c r="F301" t="s">
        <v>919</v>
      </c>
      <c r="G301">
        <v>39854</v>
      </c>
      <c r="H301" t="s">
        <v>42</v>
      </c>
      <c r="I301">
        <v>9</v>
      </c>
      <c r="J301" t="s">
        <v>17</v>
      </c>
    </row>
    <row r="302" spans="1:10" x14ac:dyDescent="0.2">
      <c r="A302" t="s">
        <v>920</v>
      </c>
      <c r="B302" t="s">
        <v>921</v>
      </c>
      <c r="C302" t="s">
        <v>25</v>
      </c>
      <c r="D302" t="s">
        <v>20</v>
      </c>
      <c r="E302" t="s">
        <v>46</v>
      </c>
      <c r="F302" t="s">
        <v>869</v>
      </c>
      <c r="G302">
        <v>32356</v>
      </c>
      <c r="H302" t="s">
        <v>33</v>
      </c>
      <c r="I302">
        <v>7</v>
      </c>
      <c r="J302" t="s">
        <v>38</v>
      </c>
    </row>
    <row r="303" spans="1:10" x14ac:dyDescent="0.2">
      <c r="A303" t="s">
        <v>922</v>
      </c>
      <c r="B303" t="s">
        <v>923</v>
      </c>
      <c r="C303" t="s">
        <v>80</v>
      </c>
      <c r="D303" t="s">
        <v>59</v>
      </c>
      <c r="E303" t="s">
        <v>26</v>
      </c>
      <c r="F303" t="s">
        <v>790</v>
      </c>
      <c r="G303">
        <v>74868</v>
      </c>
      <c r="H303" t="s">
        <v>77</v>
      </c>
      <c r="I303">
        <v>9</v>
      </c>
      <c r="J303" t="s">
        <v>51</v>
      </c>
    </row>
    <row r="304" spans="1:10" x14ac:dyDescent="0.2">
      <c r="A304" t="s">
        <v>924</v>
      </c>
      <c r="B304" t="s">
        <v>925</v>
      </c>
      <c r="C304" t="s">
        <v>80</v>
      </c>
      <c r="D304" t="s">
        <v>20</v>
      </c>
      <c r="E304" t="s">
        <v>26</v>
      </c>
      <c r="F304" t="s">
        <v>926</v>
      </c>
      <c r="G304">
        <v>93899</v>
      </c>
      <c r="H304" t="s">
        <v>33</v>
      </c>
      <c r="I304">
        <v>7</v>
      </c>
      <c r="J304" t="s">
        <v>38</v>
      </c>
    </row>
    <row r="305" spans="1:10" x14ac:dyDescent="0.2">
      <c r="A305" t="s">
        <v>927</v>
      </c>
      <c r="B305" t="s">
        <v>928</v>
      </c>
      <c r="C305" t="s">
        <v>45</v>
      </c>
      <c r="D305" t="s">
        <v>63</v>
      </c>
      <c r="E305" t="s">
        <v>46</v>
      </c>
      <c r="F305" t="s">
        <v>929</v>
      </c>
      <c r="G305">
        <v>94006</v>
      </c>
      <c r="H305" t="s">
        <v>42</v>
      </c>
      <c r="I305">
        <v>2</v>
      </c>
      <c r="J305" t="s">
        <v>51</v>
      </c>
    </row>
    <row r="306" spans="1:10" x14ac:dyDescent="0.2">
      <c r="A306" t="s">
        <v>930</v>
      </c>
      <c r="B306" t="s">
        <v>931</v>
      </c>
      <c r="C306" t="s">
        <v>80</v>
      </c>
      <c r="D306" t="s">
        <v>54</v>
      </c>
      <c r="E306" t="s">
        <v>26</v>
      </c>
      <c r="F306" t="s">
        <v>932</v>
      </c>
      <c r="G306">
        <v>58347</v>
      </c>
      <c r="H306" t="s">
        <v>77</v>
      </c>
      <c r="I306">
        <v>2</v>
      </c>
      <c r="J306" t="s">
        <v>38</v>
      </c>
    </row>
    <row r="307" spans="1:10" x14ac:dyDescent="0.2">
      <c r="A307" t="s">
        <v>933</v>
      </c>
      <c r="B307" t="s">
        <v>934</v>
      </c>
      <c r="C307" t="s">
        <v>45</v>
      </c>
      <c r="D307" t="s">
        <v>13</v>
      </c>
      <c r="E307" t="s">
        <v>26</v>
      </c>
      <c r="F307" t="s">
        <v>935</v>
      </c>
      <c r="G307">
        <v>45548</v>
      </c>
      <c r="H307" t="s">
        <v>42</v>
      </c>
      <c r="I307">
        <v>4</v>
      </c>
      <c r="J307" t="s">
        <v>51</v>
      </c>
    </row>
    <row r="308" spans="1:10" x14ac:dyDescent="0.2">
      <c r="A308" t="s">
        <v>936</v>
      </c>
      <c r="B308" t="s">
        <v>937</v>
      </c>
      <c r="C308" t="s">
        <v>25</v>
      </c>
      <c r="D308" t="s">
        <v>63</v>
      </c>
      <c r="E308" t="s">
        <v>46</v>
      </c>
      <c r="F308" t="s">
        <v>938</v>
      </c>
      <c r="G308">
        <v>93589</v>
      </c>
      <c r="H308" t="s">
        <v>33</v>
      </c>
      <c r="I308">
        <v>1</v>
      </c>
      <c r="J308" t="s">
        <v>17</v>
      </c>
    </row>
    <row r="309" spans="1:10" x14ac:dyDescent="0.2">
      <c r="A309" t="s">
        <v>939</v>
      </c>
      <c r="B309" t="s">
        <v>940</v>
      </c>
      <c r="C309" t="s">
        <v>45</v>
      </c>
      <c r="D309" t="s">
        <v>13</v>
      </c>
      <c r="E309" t="s">
        <v>26</v>
      </c>
      <c r="F309" t="s">
        <v>941</v>
      </c>
      <c r="G309">
        <v>33661</v>
      </c>
      <c r="H309" t="s">
        <v>33</v>
      </c>
      <c r="I309">
        <v>4</v>
      </c>
      <c r="J309" t="s">
        <v>17</v>
      </c>
    </row>
    <row r="310" spans="1:10" x14ac:dyDescent="0.2">
      <c r="A310" t="s">
        <v>942</v>
      </c>
      <c r="B310" t="s">
        <v>943</v>
      </c>
      <c r="C310" t="s">
        <v>25</v>
      </c>
      <c r="D310" t="s">
        <v>13</v>
      </c>
      <c r="E310" t="s">
        <v>14</v>
      </c>
      <c r="F310" t="s">
        <v>944</v>
      </c>
      <c r="G310">
        <v>33453</v>
      </c>
      <c r="H310" t="s">
        <v>33</v>
      </c>
      <c r="I310">
        <v>8</v>
      </c>
      <c r="J310" t="s">
        <v>17</v>
      </c>
    </row>
    <row r="311" spans="1:10" x14ac:dyDescent="0.2">
      <c r="A311" t="s">
        <v>945</v>
      </c>
      <c r="B311" t="s">
        <v>946</v>
      </c>
      <c r="C311" t="s">
        <v>45</v>
      </c>
      <c r="D311" t="s">
        <v>63</v>
      </c>
      <c r="E311" t="s">
        <v>26</v>
      </c>
      <c r="F311" t="s">
        <v>947</v>
      </c>
      <c r="G311">
        <v>102562</v>
      </c>
      <c r="H311" t="s">
        <v>28</v>
      </c>
      <c r="I311">
        <v>6</v>
      </c>
      <c r="J311" t="s">
        <v>17</v>
      </c>
    </row>
    <row r="312" spans="1:10" x14ac:dyDescent="0.2">
      <c r="A312" t="s">
        <v>948</v>
      </c>
      <c r="B312" t="s">
        <v>949</v>
      </c>
      <c r="C312" t="s">
        <v>12</v>
      </c>
      <c r="D312" t="s">
        <v>20</v>
      </c>
      <c r="E312" t="s">
        <v>26</v>
      </c>
      <c r="F312" t="s">
        <v>950</v>
      </c>
      <c r="G312">
        <v>45865</v>
      </c>
      <c r="H312" t="s">
        <v>37</v>
      </c>
      <c r="I312">
        <v>7</v>
      </c>
      <c r="J312" t="s">
        <v>38</v>
      </c>
    </row>
    <row r="313" spans="1:10" x14ac:dyDescent="0.2">
      <c r="A313" t="s">
        <v>951</v>
      </c>
      <c r="B313" t="s">
        <v>952</v>
      </c>
      <c r="C313" t="s">
        <v>45</v>
      </c>
      <c r="D313" t="s">
        <v>63</v>
      </c>
      <c r="E313" t="s">
        <v>26</v>
      </c>
      <c r="F313" t="s">
        <v>953</v>
      </c>
      <c r="G313">
        <v>63208</v>
      </c>
      <c r="H313" t="s">
        <v>37</v>
      </c>
      <c r="I313">
        <v>8</v>
      </c>
      <c r="J313" t="s">
        <v>51</v>
      </c>
    </row>
    <row r="314" spans="1:10" x14ac:dyDescent="0.2">
      <c r="A314" t="s">
        <v>954</v>
      </c>
      <c r="B314" t="s">
        <v>955</v>
      </c>
      <c r="C314" t="s">
        <v>31</v>
      </c>
      <c r="D314" t="s">
        <v>63</v>
      </c>
      <c r="E314" t="s">
        <v>46</v>
      </c>
      <c r="F314" t="s">
        <v>956</v>
      </c>
      <c r="G314">
        <v>36056</v>
      </c>
      <c r="H314" t="s">
        <v>42</v>
      </c>
      <c r="I314">
        <v>0</v>
      </c>
      <c r="J314" t="s">
        <v>51</v>
      </c>
    </row>
    <row r="315" spans="1:10" x14ac:dyDescent="0.2">
      <c r="A315" t="s">
        <v>957</v>
      </c>
      <c r="B315" t="s">
        <v>958</v>
      </c>
      <c r="C315" t="s">
        <v>12</v>
      </c>
      <c r="D315" t="s">
        <v>13</v>
      </c>
      <c r="E315" t="s">
        <v>14</v>
      </c>
      <c r="F315" t="s">
        <v>959</v>
      </c>
      <c r="G315">
        <v>91348</v>
      </c>
      <c r="H315" t="s">
        <v>22</v>
      </c>
      <c r="I315">
        <v>2</v>
      </c>
      <c r="J315" t="s">
        <v>51</v>
      </c>
    </row>
    <row r="316" spans="1:10" x14ac:dyDescent="0.2">
      <c r="A316" t="s">
        <v>960</v>
      </c>
      <c r="B316" t="s">
        <v>961</v>
      </c>
      <c r="C316" t="s">
        <v>45</v>
      </c>
      <c r="D316" t="s">
        <v>13</v>
      </c>
      <c r="E316" t="s">
        <v>46</v>
      </c>
      <c r="F316" t="s">
        <v>962</v>
      </c>
      <c r="G316">
        <v>61322</v>
      </c>
      <c r="H316" t="s">
        <v>28</v>
      </c>
      <c r="I316">
        <v>1</v>
      </c>
      <c r="J316" t="s">
        <v>38</v>
      </c>
    </row>
    <row r="317" spans="1:10" x14ac:dyDescent="0.2">
      <c r="A317" t="s">
        <v>963</v>
      </c>
      <c r="B317" t="s">
        <v>964</v>
      </c>
      <c r="C317" t="s">
        <v>45</v>
      </c>
      <c r="D317" t="s">
        <v>54</v>
      </c>
      <c r="E317" t="s">
        <v>26</v>
      </c>
      <c r="F317" t="s">
        <v>965</v>
      </c>
      <c r="G317">
        <v>61160</v>
      </c>
      <c r="H317" t="s">
        <v>33</v>
      </c>
      <c r="I317">
        <v>7</v>
      </c>
      <c r="J317" t="s">
        <v>17</v>
      </c>
    </row>
    <row r="318" spans="1:10" x14ac:dyDescent="0.2">
      <c r="A318" t="s">
        <v>966</v>
      </c>
      <c r="B318" t="s">
        <v>967</v>
      </c>
      <c r="C318" t="s">
        <v>31</v>
      </c>
      <c r="D318" t="s">
        <v>13</v>
      </c>
      <c r="E318" t="s">
        <v>46</v>
      </c>
      <c r="F318" t="s">
        <v>968</v>
      </c>
      <c r="G318">
        <v>113021</v>
      </c>
      <c r="H318" t="s">
        <v>28</v>
      </c>
      <c r="I318">
        <v>2</v>
      </c>
      <c r="J318" t="s">
        <v>17</v>
      </c>
    </row>
    <row r="319" spans="1:10" x14ac:dyDescent="0.2">
      <c r="A319" t="s">
        <v>969</v>
      </c>
      <c r="B319" t="s">
        <v>970</v>
      </c>
      <c r="C319" t="s">
        <v>58</v>
      </c>
      <c r="D319" t="s">
        <v>13</v>
      </c>
      <c r="E319" t="s">
        <v>46</v>
      </c>
      <c r="F319" t="s">
        <v>971</v>
      </c>
      <c r="G319">
        <v>70266</v>
      </c>
      <c r="H319" t="s">
        <v>28</v>
      </c>
      <c r="I319">
        <v>4</v>
      </c>
      <c r="J319" t="s">
        <v>51</v>
      </c>
    </row>
    <row r="320" spans="1:10" x14ac:dyDescent="0.2">
      <c r="A320" t="s">
        <v>972</v>
      </c>
      <c r="B320" t="s">
        <v>973</v>
      </c>
      <c r="C320" t="s">
        <v>58</v>
      </c>
      <c r="D320" t="s">
        <v>63</v>
      </c>
      <c r="E320" t="s">
        <v>46</v>
      </c>
      <c r="F320" t="s">
        <v>974</v>
      </c>
      <c r="G320">
        <v>36563</v>
      </c>
      <c r="H320" t="s">
        <v>22</v>
      </c>
      <c r="I320">
        <v>3</v>
      </c>
      <c r="J320" t="s">
        <v>38</v>
      </c>
    </row>
    <row r="321" spans="1:10" x14ac:dyDescent="0.2">
      <c r="A321" t="s">
        <v>975</v>
      </c>
      <c r="B321" t="s">
        <v>976</v>
      </c>
      <c r="C321" t="s">
        <v>12</v>
      </c>
      <c r="D321" t="s">
        <v>13</v>
      </c>
      <c r="E321" t="s">
        <v>26</v>
      </c>
      <c r="F321" t="s">
        <v>977</v>
      </c>
      <c r="G321">
        <v>119629</v>
      </c>
      <c r="H321" t="s">
        <v>42</v>
      </c>
      <c r="I321">
        <v>8</v>
      </c>
      <c r="J321" t="s">
        <v>17</v>
      </c>
    </row>
    <row r="322" spans="1:10" x14ac:dyDescent="0.2">
      <c r="A322" t="s">
        <v>978</v>
      </c>
      <c r="B322" t="s">
        <v>979</v>
      </c>
      <c r="C322" t="s">
        <v>31</v>
      </c>
      <c r="D322" t="s">
        <v>63</v>
      </c>
      <c r="E322" t="s">
        <v>26</v>
      </c>
      <c r="F322" t="s">
        <v>980</v>
      </c>
      <c r="G322">
        <v>75820</v>
      </c>
      <c r="H322" t="s">
        <v>33</v>
      </c>
      <c r="I322">
        <v>7</v>
      </c>
      <c r="J322" t="s">
        <v>17</v>
      </c>
    </row>
    <row r="323" spans="1:10" x14ac:dyDescent="0.2">
      <c r="A323" t="s">
        <v>981</v>
      </c>
      <c r="B323" t="s">
        <v>982</v>
      </c>
      <c r="C323" t="s">
        <v>25</v>
      </c>
      <c r="D323" t="s">
        <v>13</v>
      </c>
      <c r="E323" t="s">
        <v>14</v>
      </c>
      <c r="F323" t="s">
        <v>983</v>
      </c>
      <c r="G323">
        <v>83009</v>
      </c>
      <c r="H323" t="s">
        <v>16</v>
      </c>
      <c r="I323">
        <v>8</v>
      </c>
      <c r="J323" t="s">
        <v>17</v>
      </c>
    </row>
    <row r="324" spans="1:10" x14ac:dyDescent="0.2">
      <c r="A324" t="s">
        <v>984</v>
      </c>
      <c r="B324" t="s">
        <v>985</v>
      </c>
      <c r="C324" t="s">
        <v>58</v>
      </c>
      <c r="D324" t="s">
        <v>59</v>
      </c>
      <c r="E324" t="s">
        <v>14</v>
      </c>
      <c r="F324" t="s">
        <v>986</v>
      </c>
      <c r="G324">
        <v>104267</v>
      </c>
      <c r="H324" t="s">
        <v>28</v>
      </c>
      <c r="I324">
        <v>10</v>
      </c>
      <c r="J324" t="s">
        <v>38</v>
      </c>
    </row>
    <row r="325" spans="1:10" x14ac:dyDescent="0.2">
      <c r="A325" t="s">
        <v>987</v>
      </c>
      <c r="B325" t="s">
        <v>988</v>
      </c>
      <c r="C325" t="s">
        <v>58</v>
      </c>
      <c r="D325" t="s">
        <v>13</v>
      </c>
      <c r="E325" t="s">
        <v>26</v>
      </c>
      <c r="F325" t="s">
        <v>989</v>
      </c>
      <c r="G325">
        <v>72713</v>
      </c>
      <c r="H325" t="s">
        <v>37</v>
      </c>
      <c r="I325">
        <v>4</v>
      </c>
      <c r="J325" t="s">
        <v>51</v>
      </c>
    </row>
    <row r="326" spans="1:10" x14ac:dyDescent="0.2">
      <c r="A326" t="s">
        <v>990</v>
      </c>
      <c r="B326" t="s">
        <v>991</v>
      </c>
      <c r="C326" t="s">
        <v>31</v>
      </c>
      <c r="D326" t="s">
        <v>54</v>
      </c>
      <c r="E326" t="s">
        <v>46</v>
      </c>
      <c r="F326" t="s">
        <v>992</v>
      </c>
      <c r="G326">
        <v>75989</v>
      </c>
      <c r="H326" t="s">
        <v>22</v>
      </c>
      <c r="I326">
        <v>0</v>
      </c>
      <c r="J326" t="s">
        <v>17</v>
      </c>
    </row>
    <row r="327" spans="1:10" x14ac:dyDescent="0.2">
      <c r="A327" t="s">
        <v>993</v>
      </c>
      <c r="B327" t="s">
        <v>994</v>
      </c>
      <c r="C327" t="s">
        <v>80</v>
      </c>
      <c r="D327" t="s">
        <v>20</v>
      </c>
      <c r="E327" t="s">
        <v>26</v>
      </c>
      <c r="F327" t="s">
        <v>995</v>
      </c>
      <c r="G327">
        <v>75753</v>
      </c>
      <c r="H327" t="s">
        <v>33</v>
      </c>
      <c r="I327">
        <v>3</v>
      </c>
      <c r="J327" t="s">
        <v>17</v>
      </c>
    </row>
    <row r="328" spans="1:10" x14ac:dyDescent="0.2">
      <c r="A328" t="s">
        <v>996</v>
      </c>
      <c r="B328" t="s">
        <v>997</v>
      </c>
      <c r="C328" t="s">
        <v>80</v>
      </c>
      <c r="D328" t="s">
        <v>20</v>
      </c>
      <c r="E328" t="s">
        <v>46</v>
      </c>
      <c r="F328" t="s">
        <v>998</v>
      </c>
      <c r="G328">
        <v>87566</v>
      </c>
      <c r="H328" t="s">
        <v>22</v>
      </c>
      <c r="I328">
        <v>4</v>
      </c>
      <c r="J328" t="s">
        <v>51</v>
      </c>
    </row>
    <row r="329" spans="1:10" x14ac:dyDescent="0.2">
      <c r="A329" t="s">
        <v>999</v>
      </c>
      <c r="B329" t="s">
        <v>1000</v>
      </c>
      <c r="C329" t="s">
        <v>25</v>
      </c>
      <c r="D329" t="s">
        <v>59</v>
      </c>
      <c r="E329" t="s">
        <v>14</v>
      </c>
      <c r="F329" t="s">
        <v>406</v>
      </c>
      <c r="G329">
        <v>85294</v>
      </c>
      <c r="H329" t="s">
        <v>28</v>
      </c>
      <c r="I329">
        <v>8</v>
      </c>
      <c r="J329" t="s">
        <v>38</v>
      </c>
    </row>
    <row r="330" spans="1:10" x14ac:dyDescent="0.2">
      <c r="A330" t="s">
        <v>1001</v>
      </c>
      <c r="B330" t="s">
        <v>1002</v>
      </c>
      <c r="C330" t="s">
        <v>31</v>
      </c>
      <c r="D330" t="s">
        <v>13</v>
      </c>
      <c r="E330" t="s">
        <v>26</v>
      </c>
      <c r="F330" t="s">
        <v>288</v>
      </c>
      <c r="G330">
        <v>66193</v>
      </c>
      <c r="H330" t="s">
        <v>28</v>
      </c>
      <c r="I330">
        <v>7</v>
      </c>
      <c r="J330" t="s">
        <v>51</v>
      </c>
    </row>
    <row r="331" spans="1:10" x14ac:dyDescent="0.2">
      <c r="A331" t="s">
        <v>1003</v>
      </c>
      <c r="B331" t="s">
        <v>1004</v>
      </c>
      <c r="C331" t="s">
        <v>31</v>
      </c>
      <c r="D331" t="s">
        <v>54</v>
      </c>
      <c r="E331" t="s">
        <v>46</v>
      </c>
      <c r="F331" t="s">
        <v>1005</v>
      </c>
      <c r="G331">
        <v>107424</v>
      </c>
      <c r="H331" t="s">
        <v>22</v>
      </c>
      <c r="I331">
        <v>5</v>
      </c>
      <c r="J331" t="s">
        <v>17</v>
      </c>
    </row>
    <row r="332" spans="1:10" x14ac:dyDescent="0.2">
      <c r="A332" t="s">
        <v>1006</v>
      </c>
      <c r="B332" t="s">
        <v>1007</v>
      </c>
      <c r="C332" t="s">
        <v>31</v>
      </c>
      <c r="D332" t="s">
        <v>54</v>
      </c>
      <c r="E332" t="s">
        <v>46</v>
      </c>
      <c r="F332" t="s">
        <v>1008</v>
      </c>
      <c r="G332">
        <v>55429</v>
      </c>
      <c r="H332" t="s">
        <v>33</v>
      </c>
      <c r="I332">
        <v>3</v>
      </c>
      <c r="J332" t="s">
        <v>17</v>
      </c>
    </row>
    <row r="333" spans="1:10" x14ac:dyDescent="0.2">
      <c r="A333" t="s">
        <v>1009</v>
      </c>
      <c r="B333" t="s">
        <v>1010</v>
      </c>
      <c r="C333" t="s">
        <v>12</v>
      </c>
      <c r="D333" t="s">
        <v>63</v>
      </c>
      <c r="E333" t="s">
        <v>46</v>
      </c>
      <c r="F333" t="s">
        <v>1011</v>
      </c>
      <c r="G333">
        <v>95855</v>
      </c>
      <c r="H333" t="s">
        <v>22</v>
      </c>
      <c r="I333">
        <v>4</v>
      </c>
      <c r="J333" t="s">
        <v>17</v>
      </c>
    </row>
    <row r="334" spans="1:10" x14ac:dyDescent="0.2">
      <c r="A334" t="s">
        <v>1012</v>
      </c>
      <c r="B334" t="s">
        <v>1013</v>
      </c>
      <c r="C334" t="s">
        <v>45</v>
      </c>
      <c r="D334" t="s">
        <v>54</v>
      </c>
      <c r="E334" t="s">
        <v>46</v>
      </c>
      <c r="F334" t="s">
        <v>1014</v>
      </c>
      <c r="G334">
        <v>112595</v>
      </c>
      <c r="H334" t="s">
        <v>77</v>
      </c>
      <c r="I334">
        <v>6</v>
      </c>
      <c r="J334" t="s">
        <v>17</v>
      </c>
    </row>
    <row r="335" spans="1:10" x14ac:dyDescent="0.2">
      <c r="A335" t="s">
        <v>1015</v>
      </c>
      <c r="B335" t="s">
        <v>1016</v>
      </c>
      <c r="C335" t="s">
        <v>25</v>
      </c>
      <c r="D335" t="s">
        <v>63</v>
      </c>
      <c r="E335" t="s">
        <v>26</v>
      </c>
      <c r="F335" t="s">
        <v>1017</v>
      </c>
      <c r="G335">
        <v>57167</v>
      </c>
      <c r="H335" t="s">
        <v>16</v>
      </c>
      <c r="I335">
        <v>10</v>
      </c>
      <c r="J335" t="s">
        <v>38</v>
      </c>
    </row>
    <row r="336" spans="1:10" x14ac:dyDescent="0.2">
      <c r="A336" t="s">
        <v>1018</v>
      </c>
      <c r="B336" t="s">
        <v>1019</v>
      </c>
      <c r="C336" t="s">
        <v>58</v>
      </c>
      <c r="D336" t="s">
        <v>13</v>
      </c>
      <c r="E336" t="s">
        <v>14</v>
      </c>
      <c r="F336" t="s">
        <v>1020</v>
      </c>
      <c r="G336">
        <v>54890</v>
      </c>
      <c r="H336" t="s">
        <v>42</v>
      </c>
      <c r="I336">
        <v>5</v>
      </c>
      <c r="J336" t="s">
        <v>38</v>
      </c>
    </row>
    <row r="337" spans="1:10" x14ac:dyDescent="0.2">
      <c r="A337" t="s">
        <v>1021</v>
      </c>
      <c r="B337" t="s">
        <v>1022</v>
      </c>
      <c r="C337" t="s">
        <v>45</v>
      </c>
      <c r="D337" t="s">
        <v>59</v>
      </c>
      <c r="E337" t="s">
        <v>26</v>
      </c>
      <c r="F337" t="s">
        <v>1023</v>
      </c>
      <c r="G337">
        <v>94644</v>
      </c>
      <c r="H337" t="s">
        <v>77</v>
      </c>
      <c r="I337">
        <v>2</v>
      </c>
      <c r="J337" t="s">
        <v>38</v>
      </c>
    </row>
    <row r="338" spans="1:10" x14ac:dyDescent="0.2">
      <c r="A338" t="s">
        <v>1024</v>
      </c>
      <c r="B338" t="s">
        <v>1025</v>
      </c>
      <c r="C338" t="s">
        <v>31</v>
      </c>
      <c r="D338" t="s">
        <v>59</v>
      </c>
      <c r="E338" t="s">
        <v>26</v>
      </c>
      <c r="F338" t="s">
        <v>1026</v>
      </c>
      <c r="G338">
        <v>119516</v>
      </c>
      <c r="H338" t="s">
        <v>33</v>
      </c>
      <c r="I338">
        <v>3</v>
      </c>
      <c r="J338" t="s">
        <v>17</v>
      </c>
    </row>
    <row r="339" spans="1:10" x14ac:dyDescent="0.2">
      <c r="A339" t="s">
        <v>1027</v>
      </c>
      <c r="B339" t="s">
        <v>1028</v>
      </c>
      <c r="C339" t="s">
        <v>12</v>
      </c>
      <c r="D339" t="s">
        <v>59</v>
      </c>
      <c r="E339" t="s">
        <v>14</v>
      </c>
      <c r="F339" t="s">
        <v>398</v>
      </c>
      <c r="G339">
        <v>55856</v>
      </c>
      <c r="H339" t="s">
        <v>42</v>
      </c>
      <c r="I339">
        <v>9</v>
      </c>
      <c r="J339" t="s">
        <v>38</v>
      </c>
    </row>
    <row r="340" spans="1:10" x14ac:dyDescent="0.2">
      <c r="A340" t="s">
        <v>1029</v>
      </c>
      <c r="B340" t="s">
        <v>1030</v>
      </c>
      <c r="C340" t="s">
        <v>58</v>
      </c>
      <c r="D340" t="s">
        <v>13</v>
      </c>
      <c r="E340" t="s">
        <v>46</v>
      </c>
      <c r="F340" t="s">
        <v>1031</v>
      </c>
      <c r="G340">
        <v>61202</v>
      </c>
      <c r="H340" t="s">
        <v>37</v>
      </c>
      <c r="I340">
        <v>1</v>
      </c>
      <c r="J340" t="s">
        <v>51</v>
      </c>
    </row>
    <row r="341" spans="1:10" x14ac:dyDescent="0.2">
      <c r="A341" t="s">
        <v>1032</v>
      </c>
      <c r="B341" t="s">
        <v>1033</v>
      </c>
      <c r="C341" t="s">
        <v>31</v>
      </c>
      <c r="D341" t="s">
        <v>54</v>
      </c>
      <c r="E341" t="s">
        <v>26</v>
      </c>
      <c r="F341" t="s">
        <v>1034</v>
      </c>
      <c r="G341">
        <v>86992</v>
      </c>
      <c r="H341" t="s">
        <v>33</v>
      </c>
      <c r="I341">
        <v>1</v>
      </c>
      <c r="J341" t="s">
        <v>17</v>
      </c>
    </row>
    <row r="342" spans="1:10" x14ac:dyDescent="0.2">
      <c r="A342" t="s">
        <v>1035</v>
      </c>
      <c r="B342" t="s">
        <v>1036</v>
      </c>
      <c r="C342" t="s">
        <v>25</v>
      </c>
      <c r="D342" t="s">
        <v>59</v>
      </c>
      <c r="E342" t="s">
        <v>26</v>
      </c>
      <c r="F342" t="s">
        <v>1037</v>
      </c>
      <c r="G342">
        <v>51073</v>
      </c>
      <c r="H342" t="s">
        <v>28</v>
      </c>
      <c r="I342">
        <v>9</v>
      </c>
      <c r="J342" t="s">
        <v>17</v>
      </c>
    </row>
    <row r="343" spans="1:10" x14ac:dyDescent="0.2">
      <c r="A343" t="s">
        <v>1038</v>
      </c>
      <c r="B343" t="s">
        <v>1039</v>
      </c>
      <c r="C343" t="s">
        <v>80</v>
      </c>
      <c r="D343" t="s">
        <v>20</v>
      </c>
      <c r="E343" t="s">
        <v>46</v>
      </c>
      <c r="F343" t="s">
        <v>1040</v>
      </c>
      <c r="G343">
        <v>96745</v>
      </c>
      <c r="H343" t="s">
        <v>28</v>
      </c>
      <c r="I343">
        <v>1</v>
      </c>
      <c r="J343" t="s">
        <v>51</v>
      </c>
    </row>
    <row r="344" spans="1:10" x14ac:dyDescent="0.2">
      <c r="A344" t="s">
        <v>1041</v>
      </c>
      <c r="B344" t="s">
        <v>1042</v>
      </c>
      <c r="C344" t="s">
        <v>12</v>
      </c>
      <c r="D344" t="s">
        <v>54</v>
      </c>
      <c r="E344" t="s">
        <v>46</v>
      </c>
      <c r="F344" t="s">
        <v>1043</v>
      </c>
      <c r="G344">
        <v>55536</v>
      </c>
      <c r="H344" t="s">
        <v>22</v>
      </c>
      <c r="I344">
        <v>8</v>
      </c>
      <c r="J344" t="s">
        <v>38</v>
      </c>
    </row>
    <row r="345" spans="1:10" x14ac:dyDescent="0.2">
      <c r="A345" t="s">
        <v>1044</v>
      </c>
      <c r="B345" t="s">
        <v>1045</v>
      </c>
      <c r="C345" t="s">
        <v>80</v>
      </c>
      <c r="D345" t="s">
        <v>63</v>
      </c>
      <c r="E345" t="s">
        <v>14</v>
      </c>
      <c r="F345" t="s">
        <v>1046</v>
      </c>
      <c r="G345">
        <v>114152</v>
      </c>
      <c r="H345" t="s">
        <v>37</v>
      </c>
      <c r="I345">
        <v>4</v>
      </c>
      <c r="J345" t="s">
        <v>51</v>
      </c>
    </row>
    <row r="346" spans="1:10" x14ac:dyDescent="0.2">
      <c r="A346" t="s">
        <v>1047</v>
      </c>
      <c r="B346" t="s">
        <v>1048</v>
      </c>
      <c r="C346" t="s">
        <v>25</v>
      </c>
      <c r="D346" t="s">
        <v>54</v>
      </c>
      <c r="E346" t="s">
        <v>46</v>
      </c>
      <c r="F346" t="s">
        <v>708</v>
      </c>
      <c r="G346">
        <v>93454</v>
      </c>
      <c r="H346" t="s">
        <v>77</v>
      </c>
      <c r="I346">
        <v>3</v>
      </c>
      <c r="J346" t="s">
        <v>17</v>
      </c>
    </row>
    <row r="347" spans="1:10" x14ac:dyDescent="0.2">
      <c r="A347" t="s">
        <v>1049</v>
      </c>
      <c r="B347" t="s">
        <v>1050</v>
      </c>
      <c r="C347" t="s">
        <v>80</v>
      </c>
      <c r="D347" t="s">
        <v>63</v>
      </c>
      <c r="E347" t="s">
        <v>14</v>
      </c>
      <c r="F347" t="s">
        <v>1051</v>
      </c>
      <c r="G347">
        <v>116889</v>
      </c>
      <c r="H347" t="s">
        <v>37</v>
      </c>
      <c r="I347">
        <v>0</v>
      </c>
      <c r="J347" t="s">
        <v>17</v>
      </c>
    </row>
    <row r="348" spans="1:10" x14ac:dyDescent="0.2">
      <c r="A348" t="s">
        <v>1052</v>
      </c>
      <c r="B348" t="s">
        <v>1053</v>
      </c>
      <c r="C348" t="s">
        <v>58</v>
      </c>
      <c r="D348" t="s">
        <v>13</v>
      </c>
      <c r="E348" t="s">
        <v>46</v>
      </c>
      <c r="F348" t="s">
        <v>1054</v>
      </c>
      <c r="G348">
        <v>118377</v>
      </c>
      <c r="H348" t="s">
        <v>42</v>
      </c>
      <c r="I348">
        <v>10</v>
      </c>
      <c r="J348" t="s">
        <v>38</v>
      </c>
    </row>
    <row r="349" spans="1:10" x14ac:dyDescent="0.2">
      <c r="A349" t="s">
        <v>1055</v>
      </c>
      <c r="B349" t="s">
        <v>1056</v>
      </c>
      <c r="C349" t="s">
        <v>58</v>
      </c>
      <c r="D349" t="s">
        <v>54</v>
      </c>
      <c r="E349" t="s">
        <v>46</v>
      </c>
      <c r="F349" t="s">
        <v>1057</v>
      </c>
      <c r="G349">
        <v>112390</v>
      </c>
      <c r="H349" t="s">
        <v>22</v>
      </c>
      <c r="I349">
        <v>0</v>
      </c>
      <c r="J349" t="s">
        <v>38</v>
      </c>
    </row>
    <row r="350" spans="1:10" x14ac:dyDescent="0.2">
      <c r="A350" t="s">
        <v>1058</v>
      </c>
      <c r="B350" t="s">
        <v>1059</v>
      </c>
      <c r="C350" t="s">
        <v>25</v>
      </c>
      <c r="D350" t="s">
        <v>13</v>
      </c>
      <c r="E350" t="s">
        <v>14</v>
      </c>
      <c r="F350" t="s">
        <v>1060</v>
      </c>
      <c r="G350">
        <v>56310</v>
      </c>
      <c r="H350" t="s">
        <v>16</v>
      </c>
      <c r="I350">
        <v>5</v>
      </c>
      <c r="J350" t="s">
        <v>17</v>
      </c>
    </row>
    <row r="351" spans="1:10" x14ac:dyDescent="0.2">
      <c r="A351" t="s">
        <v>1061</v>
      </c>
      <c r="B351" t="s">
        <v>1062</v>
      </c>
      <c r="C351" t="s">
        <v>25</v>
      </c>
      <c r="D351" t="s">
        <v>54</v>
      </c>
      <c r="E351" t="s">
        <v>46</v>
      </c>
      <c r="F351" t="s">
        <v>1063</v>
      </c>
      <c r="G351">
        <v>46215</v>
      </c>
      <c r="H351" t="s">
        <v>37</v>
      </c>
      <c r="I351">
        <v>6</v>
      </c>
      <c r="J351" t="s">
        <v>17</v>
      </c>
    </row>
    <row r="352" spans="1:10" x14ac:dyDescent="0.2">
      <c r="A352" t="s">
        <v>1064</v>
      </c>
      <c r="B352" t="s">
        <v>1065</v>
      </c>
      <c r="C352" t="s">
        <v>80</v>
      </c>
      <c r="D352" t="s">
        <v>20</v>
      </c>
      <c r="E352" t="s">
        <v>46</v>
      </c>
      <c r="F352" t="s">
        <v>1066</v>
      </c>
      <c r="G352">
        <v>62608</v>
      </c>
      <c r="H352" t="s">
        <v>22</v>
      </c>
      <c r="I352">
        <v>7</v>
      </c>
      <c r="J352" t="s">
        <v>38</v>
      </c>
    </row>
    <row r="353" spans="1:10" x14ac:dyDescent="0.2">
      <c r="A353" t="s">
        <v>1067</v>
      </c>
      <c r="B353" t="s">
        <v>1068</v>
      </c>
      <c r="C353" t="s">
        <v>80</v>
      </c>
      <c r="D353" t="s">
        <v>20</v>
      </c>
      <c r="E353" t="s">
        <v>26</v>
      </c>
      <c r="F353" t="s">
        <v>1069</v>
      </c>
      <c r="G353">
        <v>69460</v>
      </c>
      <c r="H353" t="s">
        <v>42</v>
      </c>
      <c r="I353">
        <v>4</v>
      </c>
      <c r="J353" t="s">
        <v>51</v>
      </c>
    </row>
    <row r="354" spans="1:10" x14ac:dyDescent="0.2">
      <c r="A354" t="s">
        <v>1070</v>
      </c>
      <c r="B354" t="s">
        <v>1071</v>
      </c>
      <c r="C354" t="s">
        <v>25</v>
      </c>
      <c r="D354" t="s">
        <v>63</v>
      </c>
      <c r="E354" t="s">
        <v>46</v>
      </c>
      <c r="F354" t="s">
        <v>1072</v>
      </c>
      <c r="G354">
        <v>47152</v>
      </c>
      <c r="H354" t="s">
        <v>33</v>
      </c>
      <c r="I354">
        <v>4</v>
      </c>
      <c r="J354" t="s">
        <v>17</v>
      </c>
    </row>
    <row r="355" spans="1:10" x14ac:dyDescent="0.2">
      <c r="A355" t="s">
        <v>1073</v>
      </c>
      <c r="B355" t="s">
        <v>1074</v>
      </c>
      <c r="C355" t="s">
        <v>58</v>
      </c>
      <c r="D355" t="s">
        <v>13</v>
      </c>
      <c r="E355" t="s">
        <v>26</v>
      </c>
      <c r="F355" t="s">
        <v>1075</v>
      </c>
      <c r="G355">
        <v>118167</v>
      </c>
      <c r="H355" t="s">
        <v>33</v>
      </c>
      <c r="I355">
        <v>0</v>
      </c>
      <c r="J355" t="s">
        <v>17</v>
      </c>
    </row>
    <row r="356" spans="1:10" x14ac:dyDescent="0.2">
      <c r="A356" t="s">
        <v>1076</v>
      </c>
      <c r="B356" t="s">
        <v>1077</v>
      </c>
      <c r="C356" t="s">
        <v>31</v>
      </c>
      <c r="D356" t="s">
        <v>59</v>
      </c>
      <c r="E356" t="s">
        <v>46</v>
      </c>
      <c r="F356" t="s">
        <v>1078</v>
      </c>
      <c r="G356">
        <v>71023</v>
      </c>
      <c r="H356" t="s">
        <v>37</v>
      </c>
      <c r="I356">
        <v>3</v>
      </c>
      <c r="J356" t="s">
        <v>51</v>
      </c>
    </row>
    <row r="357" spans="1:10" x14ac:dyDescent="0.2">
      <c r="A357" t="s">
        <v>1079</v>
      </c>
      <c r="B357" t="s">
        <v>1080</v>
      </c>
      <c r="C357" t="s">
        <v>45</v>
      </c>
      <c r="D357" t="s">
        <v>20</v>
      </c>
      <c r="E357" t="s">
        <v>14</v>
      </c>
      <c r="F357" t="s">
        <v>1081</v>
      </c>
      <c r="G357">
        <v>31990</v>
      </c>
      <c r="H357" t="s">
        <v>28</v>
      </c>
      <c r="I357">
        <v>0</v>
      </c>
      <c r="J357" t="s">
        <v>38</v>
      </c>
    </row>
    <row r="358" spans="1:10" x14ac:dyDescent="0.2">
      <c r="A358" t="s">
        <v>1082</v>
      </c>
      <c r="B358" t="s">
        <v>1083</v>
      </c>
      <c r="C358" t="s">
        <v>80</v>
      </c>
      <c r="D358" t="s">
        <v>13</v>
      </c>
      <c r="E358" t="s">
        <v>46</v>
      </c>
      <c r="F358" t="s">
        <v>1084</v>
      </c>
      <c r="G358">
        <v>82352</v>
      </c>
      <c r="H358" t="s">
        <v>28</v>
      </c>
      <c r="I358">
        <v>8</v>
      </c>
      <c r="J358" t="s">
        <v>38</v>
      </c>
    </row>
    <row r="359" spans="1:10" x14ac:dyDescent="0.2">
      <c r="A359" t="s">
        <v>1085</v>
      </c>
      <c r="B359" t="s">
        <v>1086</v>
      </c>
      <c r="C359" t="s">
        <v>12</v>
      </c>
      <c r="D359" t="s">
        <v>20</v>
      </c>
      <c r="E359" t="s">
        <v>46</v>
      </c>
      <c r="F359" t="s">
        <v>563</v>
      </c>
      <c r="G359">
        <v>67047</v>
      </c>
      <c r="H359" t="s">
        <v>16</v>
      </c>
      <c r="I359">
        <v>6</v>
      </c>
      <c r="J359" t="s">
        <v>17</v>
      </c>
    </row>
    <row r="360" spans="1:10" x14ac:dyDescent="0.2">
      <c r="A360" t="s">
        <v>1087</v>
      </c>
      <c r="B360" t="s">
        <v>1088</v>
      </c>
      <c r="C360" t="s">
        <v>25</v>
      </c>
      <c r="D360" t="s">
        <v>54</v>
      </c>
      <c r="E360" t="s">
        <v>46</v>
      </c>
      <c r="F360" t="s">
        <v>1089</v>
      </c>
      <c r="G360">
        <v>49638</v>
      </c>
      <c r="H360" t="s">
        <v>28</v>
      </c>
      <c r="I360">
        <v>3</v>
      </c>
      <c r="J360" t="s">
        <v>17</v>
      </c>
    </row>
    <row r="361" spans="1:10" x14ac:dyDescent="0.2">
      <c r="A361" t="s">
        <v>1090</v>
      </c>
      <c r="B361" t="s">
        <v>1091</v>
      </c>
      <c r="C361" t="s">
        <v>45</v>
      </c>
      <c r="D361" t="s">
        <v>54</v>
      </c>
      <c r="E361" t="s">
        <v>46</v>
      </c>
      <c r="F361" t="s">
        <v>1092</v>
      </c>
      <c r="G361">
        <v>39121</v>
      </c>
      <c r="H361" t="s">
        <v>37</v>
      </c>
      <c r="I361">
        <v>3</v>
      </c>
      <c r="J361" t="s">
        <v>17</v>
      </c>
    </row>
    <row r="362" spans="1:10" x14ac:dyDescent="0.2">
      <c r="A362" t="s">
        <v>1093</v>
      </c>
      <c r="B362" t="s">
        <v>1094</v>
      </c>
      <c r="C362" t="s">
        <v>12</v>
      </c>
      <c r="D362" t="s">
        <v>20</v>
      </c>
      <c r="E362" t="s">
        <v>14</v>
      </c>
      <c r="F362" t="s">
        <v>1095</v>
      </c>
      <c r="G362">
        <v>42819</v>
      </c>
      <c r="H362" t="s">
        <v>16</v>
      </c>
      <c r="I362">
        <v>1</v>
      </c>
      <c r="J362" t="s">
        <v>51</v>
      </c>
    </row>
    <row r="363" spans="1:10" x14ac:dyDescent="0.2">
      <c r="A363" t="s">
        <v>1096</v>
      </c>
      <c r="B363" t="s">
        <v>1097</v>
      </c>
      <c r="C363" t="s">
        <v>12</v>
      </c>
      <c r="D363" t="s">
        <v>59</v>
      </c>
      <c r="E363" t="s">
        <v>46</v>
      </c>
      <c r="F363" t="s">
        <v>1098</v>
      </c>
      <c r="G363">
        <v>44976</v>
      </c>
      <c r="H363" t="s">
        <v>16</v>
      </c>
      <c r="I363">
        <v>5</v>
      </c>
      <c r="J363" t="s">
        <v>51</v>
      </c>
    </row>
    <row r="364" spans="1:10" x14ac:dyDescent="0.2">
      <c r="A364" t="s">
        <v>1099</v>
      </c>
      <c r="B364" t="s">
        <v>1100</v>
      </c>
      <c r="C364" t="s">
        <v>80</v>
      </c>
      <c r="D364" t="s">
        <v>13</v>
      </c>
      <c r="E364" t="s">
        <v>14</v>
      </c>
      <c r="F364" t="s">
        <v>563</v>
      </c>
      <c r="G364">
        <v>72263</v>
      </c>
      <c r="H364" t="s">
        <v>77</v>
      </c>
      <c r="I364">
        <v>10</v>
      </c>
      <c r="J364" t="s">
        <v>51</v>
      </c>
    </row>
    <row r="365" spans="1:10" x14ac:dyDescent="0.2">
      <c r="A365" t="s">
        <v>1101</v>
      </c>
      <c r="B365" t="s">
        <v>1102</v>
      </c>
      <c r="C365" t="s">
        <v>25</v>
      </c>
      <c r="D365" t="s">
        <v>20</v>
      </c>
      <c r="E365" t="s">
        <v>46</v>
      </c>
      <c r="F365" t="s">
        <v>1103</v>
      </c>
      <c r="G365">
        <v>111491</v>
      </c>
      <c r="H365" t="s">
        <v>33</v>
      </c>
      <c r="I365">
        <v>4</v>
      </c>
      <c r="J365" t="s">
        <v>17</v>
      </c>
    </row>
    <row r="366" spans="1:10" x14ac:dyDescent="0.2">
      <c r="A366" t="s">
        <v>1104</v>
      </c>
      <c r="B366" t="s">
        <v>1105</v>
      </c>
      <c r="C366" t="s">
        <v>31</v>
      </c>
      <c r="D366" t="s">
        <v>59</v>
      </c>
      <c r="E366" t="s">
        <v>26</v>
      </c>
      <c r="F366" t="s">
        <v>1106</v>
      </c>
      <c r="G366">
        <v>72747</v>
      </c>
      <c r="H366" t="s">
        <v>16</v>
      </c>
      <c r="I366">
        <v>7</v>
      </c>
      <c r="J366" t="s">
        <v>17</v>
      </c>
    </row>
    <row r="367" spans="1:10" x14ac:dyDescent="0.2">
      <c r="A367" t="s">
        <v>1107</v>
      </c>
      <c r="B367" t="s">
        <v>1108</v>
      </c>
      <c r="C367" t="s">
        <v>58</v>
      </c>
      <c r="D367" t="s">
        <v>59</v>
      </c>
      <c r="E367" t="s">
        <v>26</v>
      </c>
      <c r="F367" t="s">
        <v>1109</v>
      </c>
      <c r="G367">
        <v>95605</v>
      </c>
      <c r="H367" t="s">
        <v>42</v>
      </c>
      <c r="I367">
        <v>10</v>
      </c>
      <c r="J367" t="s">
        <v>51</v>
      </c>
    </row>
    <row r="368" spans="1:10" x14ac:dyDescent="0.2">
      <c r="A368" t="s">
        <v>1110</v>
      </c>
      <c r="B368" t="s">
        <v>1111</v>
      </c>
      <c r="C368" t="s">
        <v>31</v>
      </c>
      <c r="D368" t="s">
        <v>13</v>
      </c>
      <c r="E368" t="s">
        <v>14</v>
      </c>
      <c r="F368" t="s">
        <v>1112</v>
      </c>
      <c r="G368">
        <v>44201</v>
      </c>
      <c r="H368" t="s">
        <v>22</v>
      </c>
      <c r="I368">
        <v>1</v>
      </c>
      <c r="J368" t="s">
        <v>38</v>
      </c>
    </row>
    <row r="369" spans="1:10" x14ac:dyDescent="0.2">
      <c r="A369" t="s">
        <v>1113</v>
      </c>
      <c r="B369" t="s">
        <v>1114</v>
      </c>
      <c r="C369" t="s">
        <v>12</v>
      </c>
      <c r="D369" t="s">
        <v>20</v>
      </c>
      <c r="E369" t="s">
        <v>46</v>
      </c>
      <c r="F369" t="s">
        <v>1115</v>
      </c>
      <c r="G369">
        <v>67599</v>
      </c>
      <c r="H369" t="s">
        <v>22</v>
      </c>
      <c r="I369">
        <v>7</v>
      </c>
      <c r="J369" t="s">
        <v>38</v>
      </c>
    </row>
    <row r="370" spans="1:10" x14ac:dyDescent="0.2">
      <c r="A370" t="s">
        <v>1116</v>
      </c>
      <c r="B370" t="s">
        <v>1117</v>
      </c>
      <c r="C370" t="s">
        <v>25</v>
      </c>
      <c r="D370" t="s">
        <v>59</v>
      </c>
      <c r="E370" t="s">
        <v>46</v>
      </c>
      <c r="F370" t="s">
        <v>622</v>
      </c>
      <c r="G370">
        <v>99258</v>
      </c>
      <c r="H370" t="s">
        <v>37</v>
      </c>
      <c r="I370">
        <v>10</v>
      </c>
      <c r="J370" t="s">
        <v>51</v>
      </c>
    </row>
    <row r="371" spans="1:10" x14ac:dyDescent="0.2">
      <c r="A371" t="s">
        <v>1118</v>
      </c>
      <c r="B371" t="s">
        <v>1119</v>
      </c>
      <c r="C371" t="s">
        <v>58</v>
      </c>
      <c r="D371" t="s">
        <v>54</v>
      </c>
      <c r="E371" t="s">
        <v>26</v>
      </c>
      <c r="F371" t="s">
        <v>1120</v>
      </c>
      <c r="G371">
        <v>64577</v>
      </c>
      <c r="H371" t="s">
        <v>33</v>
      </c>
      <c r="I371">
        <v>5</v>
      </c>
      <c r="J371" t="s">
        <v>38</v>
      </c>
    </row>
    <row r="372" spans="1:10" x14ac:dyDescent="0.2">
      <c r="A372" t="s">
        <v>1121</v>
      </c>
      <c r="B372" t="s">
        <v>1122</v>
      </c>
      <c r="C372" t="s">
        <v>45</v>
      </c>
      <c r="D372" t="s">
        <v>63</v>
      </c>
      <c r="E372" t="s">
        <v>26</v>
      </c>
      <c r="F372" t="s">
        <v>210</v>
      </c>
      <c r="G372">
        <v>72564</v>
      </c>
      <c r="H372" t="s">
        <v>77</v>
      </c>
      <c r="I372">
        <v>8</v>
      </c>
      <c r="J372" t="s">
        <v>51</v>
      </c>
    </row>
    <row r="373" spans="1:10" x14ac:dyDescent="0.2">
      <c r="A373" t="s">
        <v>1123</v>
      </c>
      <c r="B373" t="s">
        <v>1124</v>
      </c>
      <c r="C373" t="s">
        <v>12</v>
      </c>
      <c r="D373" t="s">
        <v>63</v>
      </c>
      <c r="E373" t="s">
        <v>46</v>
      </c>
      <c r="F373" t="s">
        <v>1125</v>
      </c>
      <c r="G373">
        <v>38169</v>
      </c>
      <c r="H373" t="s">
        <v>33</v>
      </c>
      <c r="I373">
        <v>7</v>
      </c>
      <c r="J373" t="s">
        <v>38</v>
      </c>
    </row>
    <row r="374" spans="1:10" x14ac:dyDescent="0.2">
      <c r="A374" t="s">
        <v>1126</v>
      </c>
      <c r="B374" t="s">
        <v>1127</v>
      </c>
      <c r="C374" t="s">
        <v>45</v>
      </c>
      <c r="D374" t="s">
        <v>20</v>
      </c>
      <c r="E374" t="s">
        <v>26</v>
      </c>
      <c r="F374" t="s">
        <v>1128</v>
      </c>
      <c r="G374">
        <v>35431</v>
      </c>
      <c r="H374" t="s">
        <v>37</v>
      </c>
      <c r="I374">
        <v>5</v>
      </c>
      <c r="J374" t="s">
        <v>17</v>
      </c>
    </row>
    <row r="375" spans="1:10" x14ac:dyDescent="0.2">
      <c r="A375" t="s">
        <v>1129</v>
      </c>
      <c r="B375" t="s">
        <v>1130</v>
      </c>
      <c r="C375" t="s">
        <v>80</v>
      </c>
      <c r="D375" t="s">
        <v>20</v>
      </c>
      <c r="E375" t="s">
        <v>14</v>
      </c>
      <c r="F375" t="s">
        <v>1131</v>
      </c>
      <c r="G375">
        <v>77326</v>
      </c>
      <c r="H375" t="s">
        <v>42</v>
      </c>
      <c r="I375">
        <v>3</v>
      </c>
      <c r="J375" t="s">
        <v>51</v>
      </c>
    </row>
    <row r="376" spans="1:10" x14ac:dyDescent="0.2">
      <c r="A376" t="s">
        <v>1132</v>
      </c>
      <c r="B376" t="s">
        <v>1133</v>
      </c>
      <c r="C376" t="s">
        <v>31</v>
      </c>
      <c r="D376" t="s">
        <v>59</v>
      </c>
      <c r="E376" t="s">
        <v>26</v>
      </c>
      <c r="F376" t="s">
        <v>1134</v>
      </c>
      <c r="G376">
        <v>61705</v>
      </c>
      <c r="H376" t="s">
        <v>28</v>
      </c>
      <c r="I376">
        <v>10</v>
      </c>
      <c r="J376" t="s">
        <v>38</v>
      </c>
    </row>
    <row r="377" spans="1:10" x14ac:dyDescent="0.2">
      <c r="A377" t="s">
        <v>1135</v>
      </c>
      <c r="B377" t="s">
        <v>1136</v>
      </c>
      <c r="C377" t="s">
        <v>31</v>
      </c>
      <c r="D377" t="s">
        <v>54</v>
      </c>
      <c r="E377" t="s">
        <v>14</v>
      </c>
      <c r="F377" t="s">
        <v>1137</v>
      </c>
      <c r="G377">
        <v>114572</v>
      </c>
      <c r="H377" t="s">
        <v>77</v>
      </c>
      <c r="I377">
        <v>0</v>
      </c>
      <c r="J377" t="s">
        <v>17</v>
      </c>
    </row>
    <row r="378" spans="1:10" x14ac:dyDescent="0.2">
      <c r="A378" t="s">
        <v>1138</v>
      </c>
      <c r="B378" t="s">
        <v>1139</v>
      </c>
      <c r="C378" t="s">
        <v>12</v>
      </c>
      <c r="D378" t="s">
        <v>54</v>
      </c>
      <c r="E378" t="s">
        <v>26</v>
      </c>
      <c r="F378" t="s">
        <v>1140</v>
      </c>
      <c r="G378">
        <v>41695</v>
      </c>
      <c r="H378" t="s">
        <v>42</v>
      </c>
      <c r="I378">
        <v>7</v>
      </c>
      <c r="J378" t="s">
        <v>38</v>
      </c>
    </row>
    <row r="379" spans="1:10" x14ac:dyDescent="0.2">
      <c r="A379" t="s">
        <v>1141</v>
      </c>
      <c r="B379" t="s">
        <v>1142</v>
      </c>
      <c r="C379" t="s">
        <v>80</v>
      </c>
      <c r="D379" t="s">
        <v>63</v>
      </c>
      <c r="E379" t="s">
        <v>26</v>
      </c>
      <c r="F379" t="s">
        <v>1143</v>
      </c>
      <c r="G379">
        <v>101110</v>
      </c>
      <c r="H379" t="s">
        <v>22</v>
      </c>
      <c r="I379">
        <v>3</v>
      </c>
      <c r="J379" t="s">
        <v>51</v>
      </c>
    </row>
    <row r="380" spans="1:10" x14ac:dyDescent="0.2">
      <c r="A380" t="s">
        <v>1144</v>
      </c>
      <c r="B380" t="s">
        <v>1145</v>
      </c>
      <c r="C380" t="s">
        <v>45</v>
      </c>
      <c r="D380" t="s">
        <v>13</v>
      </c>
      <c r="E380" t="s">
        <v>26</v>
      </c>
      <c r="F380" t="s">
        <v>1146</v>
      </c>
      <c r="G380">
        <v>59831</v>
      </c>
      <c r="H380" t="s">
        <v>77</v>
      </c>
      <c r="I380">
        <v>4</v>
      </c>
      <c r="J380" t="s">
        <v>17</v>
      </c>
    </row>
    <row r="381" spans="1:10" x14ac:dyDescent="0.2">
      <c r="A381" t="s">
        <v>1147</v>
      </c>
      <c r="B381" t="s">
        <v>1148</v>
      </c>
      <c r="C381" t="s">
        <v>12</v>
      </c>
      <c r="D381" t="s">
        <v>63</v>
      </c>
      <c r="E381" t="s">
        <v>14</v>
      </c>
      <c r="F381" t="s">
        <v>555</v>
      </c>
      <c r="G381">
        <v>84055</v>
      </c>
      <c r="H381" t="s">
        <v>28</v>
      </c>
      <c r="I381">
        <v>6</v>
      </c>
      <c r="J381" t="s">
        <v>17</v>
      </c>
    </row>
    <row r="382" spans="1:10" x14ac:dyDescent="0.2">
      <c r="A382" t="s">
        <v>1149</v>
      </c>
      <c r="B382" t="s">
        <v>1150</v>
      </c>
      <c r="C382" t="s">
        <v>31</v>
      </c>
      <c r="D382" t="s">
        <v>20</v>
      </c>
      <c r="E382" t="s">
        <v>26</v>
      </c>
      <c r="F382" t="s">
        <v>1151</v>
      </c>
      <c r="G382">
        <v>31024</v>
      </c>
      <c r="H382" t="s">
        <v>37</v>
      </c>
      <c r="I382">
        <v>6</v>
      </c>
      <c r="J382" t="s">
        <v>51</v>
      </c>
    </row>
    <row r="383" spans="1:10" x14ac:dyDescent="0.2">
      <c r="A383" t="s">
        <v>1152</v>
      </c>
      <c r="B383" t="s">
        <v>1153</v>
      </c>
      <c r="C383" t="s">
        <v>58</v>
      </c>
      <c r="D383" t="s">
        <v>54</v>
      </c>
      <c r="E383" t="s">
        <v>46</v>
      </c>
      <c r="F383" t="s">
        <v>1154</v>
      </c>
      <c r="G383">
        <v>113339</v>
      </c>
      <c r="H383" t="s">
        <v>33</v>
      </c>
      <c r="I383">
        <v>9</v>
      </c>
      <c r="J383" t="s">
        <v>38</v>
      </c>
    </row>
    <row r="384" spans="1:10" x14ac:dyDescent="0.2">
      <c r="A384" t="s">
        <v>1155</v>
      </c>
      <c r="B384" t="s">
        <v>1156</v>
      </c>
      <c r="C384" t="s">
        <v>80</v>
      </c>
      <c r="D384" t="s">
        <v>54</v>
      </c>
      <c r="E384" t="s">
        <v>14</v>
      </c>
      <c r="F384" t="s">
        <v>1157</v>
      </c>
      <c r="G384">
        <v>99179</v>
      </c>
      <c r="H384" t="s">
        <v>33</v>
      </c>
      <c r="I384">
        <v>6</v>
      </c>
      <c r="J384" t="s">
        <v>51</v>
      </c>
    </row>
    <row r="385" spans="1:10" x14ac:dyDescent="0.2">
      <c r="A385" t="s">
        <v>1158</v>
      </c>
      <c r="B385" t="s">
        <v>1159</v>
      </c>
      <c r="C385" t="s">
        <v>12</v>
      </c>
      <c r="D385" t="s">
        <v>13</v>
      </c>
      <c r="E385" t="s">
        <v>46</v>
      </c>
      <c r="F385" t="s">
        <v>720</v>
      </c>
      <c r="G385">
        <v>43383</v>
      </c>
      <c r="H385" t="s">
        <v>16</v>
      </c>
      <c r="I385">
        <v>2</v>
      </c>
      <c r="J385" t="s">
        <v>38</v>
      </c>
    </row>
    <row r="386" spans="1:10" x14ac:dyDescent="0.2">
      <c r="A386" t="s">
        <v>1160</v>
      </c>
      <c r="B386" t="s">
        <v>1161</v>
      </c>
      <c r="C386" t="s">
        <v>80</v>
      </c>
      <c r="D386" t="s">
        <v>54</v>
      </c>
      <c r="E386" t="s">
        <v>46</v>
      </c>
      <c r="F386" t="s">
        <v>1162</v>
      </c>
      <c r="G386">
        <v>60137</v>
      </c>
      <c r="H386" t="s">
        <v>28</v>
      </c>
      <c r="I386">
        <v>7</v>
      </c>
      <c r="J386" t="s">
        <v>38</v>
      </c>
    </row>
    <row r="387" spans="1:10" x14ac:dyDescent="0.2">
      <c r="A387" t="s">
        <v>1163</v>
      </c>
      <c r="B387" t="s">
        <v>1164</v>
      </c>
      <c r="C387" t="s">
        <v>58</v>
      </c>
      <c r="D387" t="s">
        <v>13</v>
      </c>
      <c r="E387" t="s">
        <v>26</v>
      </c>
      <c r="F387" t="s">
        <v>1165</v>
      </c>
      <c r="G387">
        <v>102300</v>
      </c>
      <c r="H387" t="s">
        <v>28</v>
      </c>
      <c r="I387">
        <v>9</v>
      </c>
      <c r="J387" t="s">
        <v>17</v>
      </c>
    </row>
    <row r="388" spans="1:10" x14ac:dyDescent="0.2">
      <c r="A388" t="s">
        <v>1166</v>
      </c>
      <c r="B388" t="s">
        <v>1167</v>
      </c>
      <c r="C388" t="s">
        <v>58</v>
      </c>
      <c r="D388" t="s">
        <v>63</v>
      </c>
      <c r="E388" t="s">
        <v>26</v>
      </c>
      <c r="F388" t="s">
        <v>1168</v>
      </c>
      <c r="G388">
        <v>67096</v>
      </c>
      <c r="H388" t="s">
        <v>33</v>
      </c>
      <c r="I388">
        <v>4</v>
      </c>
      <c r="J388" t="s">
        <v>51</v>
      </c>
    </row>
    <row r="389" spans="1:10" x14ac:dyDescent="0.2">
      <c r="A389" t="s">
        <v>1169</v>
      </c>
      <c r="B389" t="s">
        <v>1170</v>
      </c>
      <c r="C389" t="s">
        <v>31</v>
      </c>
      <c r="D389" t="s">
        <v>13</v>
      </c>
      <c r="E389" t="s">
        <v>46</v>
      </c>
      <c r="F389" t="s">
        <v>1171</v>
      </c>
      <c r="G389">
        <v>40063</v>
      </c>
      <c r="H389" t="s">
        <v>16</v>
      </c>
      <c r="I389">
        <v>9</v>
      </c>
      <c r="J389" t="s">
        <v>51</v>
      </c>
    </row>
    <row r="390" spans="1:10" x14ac:dyDescent="0.2">
      <c r="A390" t="s">
        <v>1172</v>
      </c>
      <c r="B390" t="s">
        <v>1173</v>
      </c>
      <c r="C390" t="s">
        <v>25</v>
      </c>
      <c r="D390" t="s">
        <v>59</v>
      </c>
      <c r="E390" t="s">
        <v>26</v>
      </c>
      <c r="F390" t="s">
        <v>1174</v>
      </c>
      <c r="G390">
        <v>98021</v>
      </c>
      <c r="H390" t="s">
        <v>77</v>
      </c>
      <c r="I390">
        <v>2</v>
      </c>
      <c r="J390" t="s">
        <v>51</v>
      </c>
    </row>
    <row r="391" spans="1:10" x14ac:dyDescent="0.2">
      <c r="A391" t="s">
        <v>1175</v>
      </c>
      <c r="B391" t="s">
        <v>1176</v>
      </c>
      <c r="C391" t="s">
        <v>80</v>
      </c>
      <c r="D391" t="s">
        <v>54</v>
      </c>
      <c r="E391" t="s">
        <v>46</v>
      </c>
      <c r="F391" t="s">
        <v>1177</v>
      </c>
      <c r="G391">
        <v>86175</v>
      </c>
      <c r="H391" t="s">
        <v>37</v>
      </c>
      <c r="I391">
        <v>5</v>
      </c>
      <c r="J391" t="s">
        <v>17</v>
      </c>
    </row>
    <row r="392" spans="1:10" x14ac:dyDescent="0.2">
      <c r="A392" t="s">
        <v>1178</v>
      </c>
      <c r="B392" t="s">
        <v>1179</v>
      </c>
      <c r="C392" t="s">
        <v>12</v>
      </c>
      <c r="D392" t="s">
        <v>13</v>
      </c>
      <c r="E392" t="s">
        <v>26</v>
      </c>
      <c r="F392" t="s">
        <v>1180</v>
      </c>
      <c r="G392">
        <v>104239</v>
      </c>
      <c r="H392" t="s">
        <v>22</v>
      </c>
      <c r="I392">
        <v>3</v>
      </c>
      <c r="J392" t="s">
        <v>17</v>
      </c>
    </row>
    <row r="393" spans="1:10" x14ac:dyDescent="0.2">
      <c r="A393" t="s">
        <v>1181</v>
      </c>
      <c r="B393" t="s">
        <v>1182</v>
      </c>
      <c r="C393" t="s">
        <v>45</v>
      </c>
      <c r="D393" t="s">
        <v>54</v>
      </c>
      <c r="E393" t="s">
        <v>14</v>
      </c>
      <c r="F393" t="s">
        <v>1183</v>
      </c>
      <c r="G393">
        <v>59990</v>
      </c>
      <c r="H393" t="s">
        <v>37</v>
      </c>
      <c r="I393">
        <v>9</v>
      </c>
      <c r="J393" t="s">
        <v>38</v>
      </c>
    </row>
    <row r="394" spans="1:10" x14ac:dyDescent="0.2">
      <c r="A394" t="s">
        <v>1184</v>
      </c>
      <c r="B394" t="s">
        <v>1185</v>
      </c>
      <c r="C394" t="s">
        <v>45</v>
      </c>
      <c r="D394" t="s">
        <v>59</v>
      </c>
      <c r="E394" t="s">
        <v>46</v>
      </c>
      <c r="F394" t="s">
        <v>1186</v>
      </c>
      <c r="G394">
        <v>52522</v>
      </c>
      <c r="H394" t="s">
        <v>77</v>
      </c>
      <c r="I394">
        <v>8</v>
      </c>
      <c r="J394" t="s">
        <v>17</v>
      </c>
    </row>
    <row r="395" spans="1:10" x14ac:dyDescent="0.2">
      <c r="A395" t="s">
        <v>1187</v>
      </c>
      <c r="B395" t="s">
        <v>1188</v>
      </c>
      <c r="C395" t="s">
        <v>12</v>
      </c>
      <c r="D395" t="s">
        <v>20</v>
      </c>
      <c r="E395" t="s">
        <v>26</v>
      </c>
      <c r="F395" t="s">
        <v>1189</v>
      </c>
      <c r="G395">
        <v>101868</v>
      </c>
      <c r="H395" t="s">
        <v>22</v>
      </c>
      <c r="I395">
        <v>3</v>
      </c>
      <c r="J395" t="s">
        <v>51</v>
      </c>
    </row>
    <row r="396" spans="1:10" x14ac:dyDescent="0.2">
      <c r="A396" t="s">
        <v>1190</v>
      </c>
      <c r="B396" t="s">
        <v>1191</v>
      </c>
      <c r="C396" t="s">
        <v>12</v>
      </c>
      <c r="D396" t="s">
        <v>63</v>
      </c>
      <c r="E396" t="s">
        <v>14</v>
      </c>
      <c r="F396" t="s">
        <v>1192</v>
      </c>
      <c r="G396">
        <v>97116</v>
      </c>
      <c r="H396" t="s">
        <v>42</v>
      </c>
      <c r="I396">
        <v>7</v>
      </c>
      <c r="J396" t="s">
        <v>17</v>
      </c>
    </row>
    <row r="397" spans="1:10" x14ac:dyDescent="0.2">
      <c r="A397" t="s">
        <v>1193</v>
      </c>
      <c r="B397" t="s">
        <v>1194</v>
      </c>
      <c r="C397" t="s">
        <v>12</v>
      </c>
      <c r="D397" t="s">
        <v>13</v>
      </c>
      <c r="E397" t="s">
        <v>14</v>
      </c>
      <c r="F397" t="s">
        <v>1195</v>
      </c>
      <c r="G397">
        <v>97148</v>
      </c>
      <c r="H397" t="s">
        <v>33</v>
      </c>
      <c r="I397">
        <v>0</v>
      </c>
      <c r="J397" t="s">
        <v>17</v>
      </c>
    </row>
    <row r="398" spans="1:10" x14ac:dyDescent="0.2">
      <c r="A398" t="s">
        <v>1196</v>
      </c>
      <c r="B398" t="s">
        <v>1197</v>
      </c>
      <c r="C398" t="s">
        <v>58</v>
      </c>
      <c r="D398" t="s">
        <v>54</v>
      </c>
      <c r="E398" t="s">
        <v>14</v>
      </c>
      <c r="F398" t="s">
        <v>1198</v>
      </c>
      <c r="G398">
        <v>43437</v>
      </c>
      <c r="H398" t="s">
        <v>28</v>
      </c>
      <c r="I398">
        <v>4</v>
      </c>
      <c r="J398" t="s">
        <v>17</v>
      </c>
    </row>
    <row r="399" spans="1:10" x14ac:dyDescent="0.2">
      <c r="A399" t="s">
        <v>1199</v>
      </c>
      <c r="B399" t="s">
        <v>1200</v>
      </c>
      <c r="C399" t="s">
        <v>58</v>
      </c>
      <c r="D399" t="s">
        <v>59</v>
      </c>
      <c r="E399" t="s">
        <v>14</v>
      </c>
      <c r="F399" t="s">
        <v>1201</v>
      </c>
      <c r="G399">
        <v>89491</v>
      </c>
      <c r="H399" t="s">
        <v>77</v>
      </c>
      <c r="I399">
        <v>10</v>
      </c>
      <c r="J399" t="s">
        <v>17</v>
      </c>
    </row>
    <row r="400" spans="1:10" x14ac:dyDescent="0.2">
      <c r="A400" t="s">
        <v>1202</v>
      </c>
      <c r="B400" t="s">
        <v>1203</v>
      </c>
      <c r="C400" t="s">
        <v>12</v>
      </c>
      <c r="D400" t="s">
        <v>59</v>
      </c>
      <c r="E400" t="s">
        <v>14</v>
      </c>
      <c r="F400" t="s">
        <v>1204</v>
      </c>
      <c r="G400">
        <v>64743</v>
      </c>
      <c r="H400" t="s">
        <v>37</v>
      </c>
      <c r="I400">
        <v>5</v>
      </c>
      <c r="J400" t="s">
        <v>38</v>
      </c>
    </row>
    <row r="401" spans="1:10" x14ac:dyDescent="0.2">
      <c r="A401" t="s">
        <v>1205</v>
      </c>
      <c r="B401" t="s">
        <v>1206</v>
      </c>
      <c r="C401" t="s">
        <v>80</v>
      </c>
      <c r="D401" t="s">
        <v>59</v>
      </c>
      <c r="E401" t="s">
        <v>46</v>
      </c>
      <c r="F401" t="s">
        <v>1207</v>
      </c>
      <c r="G401">
        <v>46775</v>
      </c>
      <c r="H401" t="s">
        <v>37</v>
      </c>
      <c r="I401">
        <v>2</v>
      </c>
      <c r="J401" t="s">
        <v>51</v>
      </c>
    </row>
    <row r="402" spans="1:10" x14ac:dyDescent="0.2">
      <c r="F402" s="4"/>
    </row>
  </sheetData>
  <dataValidations count="3">
    <dataValidation type="list" allowBlank="1" showInputMessage="1" showErrorMessage="1" sqref="C2:C401" xr:uid="{00000000-0002-0000-0000-000000000000}">
      <formula1>"Sales,HR,IT,Marketing,Finance,Support"</formula1>
    </dataValidation>
    <dataValidation type="list" allowBlank="1" showInputMessage="1" showErrorMessage="1" sqref="E2:E401" xr:uid="{00000000-0002-0000-0000-000001000000}">
      <formula1>"Male,Female,Other"</formula1>
    </dataValidation>
    <dataValidation type="list" allowBlank="1" showInputMessage="1" showErrorMessage="1" sqref="J2:J401" xr:uid="{00000000-0002-0000-0000-000002000000}">
      <formula1>"Active,Resigned,On Leave"</formula1>
    </dataValidation>
  </dataValidations>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1"/>
  <sheetViews>
    <sheetView tabSelected="1" zoomScale="110" workbookViewId="0">
      <selection activeCell="P6" sqref="P6"/>
    </sheetView>
  </sheetViews>
  <sheetFormatPr baseColWidth="10" defaultColWidth="8.83203125" defaultRowHeight="15" x14ac:dyDescent="0.2"/>
  <cols>
    <col min="1" max="1" width="17.1640625" customWidth="1"/>
    <col min="2" max="2" width="16.83203125" customWidth="1"/>
    <col min="4" max="4" width="12.5" customWidth="1"/>
    <col min="5" max="5" width="10.83203125" customWidth="1"/>
    <col min="10" max="10" width="12.1640625" bestFit="1" customWidth="1"/>
    <col min="11" max="11" width="11.5" bestFit="1" customWidth="1"/>
    <col min="15" max="15" width="12.1640625" bestFit="1" customWidth="1"/>
    <col min="16" max="16" width="24.1640625" bestFit="1" customWidth="1"/>
  </cols>
  <sheetData>
    <row r="1" spans="1:16" ht="21" x14ac:dyDescent="0.25">
      <c r="A1" s="2" t="s">
        <v>1208</v>
      </c>
    </row>
    <row r="3" spans="1:16" x14ac:dyDescent="0.2">
      <c r="A3" s="3" t="s">
        <v>1209</v>
      </c>
      <c r="B3" s="3" t="s">
        <v>1210</v>
      </c>
      <c r="D3" s="3" t="s">
        <v>2</v>
      </c>
      <c r="E3" s="3" t="s">
        <v>1211</v>
      </c>
      <c r="G3" s="3" t="s">
        <v>9</v>
      </c>
      <c r="H3" s="3" t="s">
        <v>1211</v>
      </c>
      <c r="J3" s="5" t="s">
        <v>1218</v>
      </c>
      <c r="K3" t="s">
        <v>1220</v>
      </c>
    </row>
    <row r="4" spans="1:16" x14ac:dyDescent="0.2">
      <c r="A4" t="s">
        <v>1212</v>
      </c>
      <c r="B4">
        <f>COUNTA(EmployeeData[Employee ID])</f>
        <v>400</v>
      </c>
      <c r="D4" t="s">
        <v>45</v>
      </c>
      <c r="E4">
        <f>COUNTIF(EmployeeData[Department],"Sales")</f>
        <v>66</v>
      </c>
      <c r="G4" t="s">
        <v>38</v>
      </c>
      <c r="H4">
        <f>COUNTIF(EmployeeData[Status],"Active")</f>
        <v>117</v>
      </c>
      <c r="J4" s="6" t="s">
        <v>25</v>
      </c>
      <c r="K4" s="7">
        <v>4915596</v>
      </c>
    </row>
    <row r="5" spans="1:16" x14ac:dyDescent="0.2">
      <c r="A5" t="s">
        <v>1213</v>
      </c>
      <c r="B5">
        <f>COUNTIF(EmployeeData[Status],"Active")</f>
        <v>117</v>
      </c>
      <c r="D5" t="s">
        <v>80</v>
      </c>
      <c r="E5">
        <f>COUNTIF(EmployeeData[Department],"HR")</f>
        <v>76</v>
      </c>
      <c r="G5" t="s">
        <v>51</v>
      </c>
      <c r="H5">
        <f>COUNTIF(EmployeeData[Status],"Resigned")</f>
        <v>148</v>
      </c>
      <c r="J5" s="6" t="s">
        <v>80</v>
      </c>
      <c r="K5" s="7">
        <v>5693612</v>
      </c>
    </row>
    <row r="6" spans="1:16" x14ac:dyDescent="0.2">
      <c r="A6" t="s">
        <v>1214</v>
      </c>
      <c r="B6">
        <f>AVERAGE(EmployeeData[Salary])</f>
        <v>73747.167499999996</v>
      </c>
      <c r="D6" t="s">
        <v>12</v>
      </c>
      <c r="E6">
        <f>COUNTIF(EmployeeData[Department],"IT")</f>
        <v>62</v>
      </c>
      <c r="G6" t="s">
        <v>17</v>
      </c>
      <c r="H6">
        <f>COUNTIF(EmployeeData[Status],"On Leave")</f>
        <v>135</v>
      </c>
      <c r="J6" s="6" t="s">
        <v>12</v>
      </c>
      <c r="K6" s="7">
        <v>4916657</v>
      </c>
    </row>
    <row r="7" spans="1:16" x14ac:dyDescent="0.2">
      <c r="A7" t="s">
        <v>1215</v>
      </c>
      <c r="B7">
        <f>MAX(EmployeeData[Salary])</f>
        <v>119629</v>
      </c>
      <c r="D7" t="s">
        <v>31</v>
      </c>
      <c r="E7">
        <f>COUNTIF(EmployeeData[Department],"Marketing")</f>
        <v>70</v>
      </c>
      <c r="J7" s="6" t="s">
        <v>31</v>
      </c>
      <c r="K7" s="7">
        <v>4804448</v>
      </c>
    </row>
    <row r="8" spans="1:16" x14ac:dyDescent="0.2">
      <c r="A8" t="s">
        <v>1216</v>
      </c>
      <c r="B8">
        <f>MIN(EmployeeData[Salary])</f>
        <v>30226</v>
      </c>
      <c r="D8" t="s">
        <v>25</v>
      </c>
      <c r="E8">
        <f>COUNTIF(EmployeeData[Department],"Finance")</f>
        <v>69</v>
      </c>
      <c r="J8" s="6" t="s">
        <v>45</v>
      </c>
      <c r="K8" s="7">
        <v>4805016</v>
      </c>
    </row>
    <row r="9" spans="1:16" x14ac:dyDescent="0.2">
      <c r="A9" t="s">
        <v>1217</v>
      </c>
      <c r="B9">
        <f>COUNTIF(EmployeeData[Department],"IT")</f>
        <v>62</v>
      </c>
      <c r="D9" t="s">
        <v>58</v>
      </c>
      <c r="E9">
        <f>COUNTIF(EmployeeData[Department],"Support")</f>
        <v>57</v>
      </c>
      <c r="J9" s="6" t="s">
        <v>58</v>
      </c>
      <c r="K9" s="7">
        <v>4363538</v>
      </c>
    </row>
    <row r="10" spans="1:16" x14ac:dyDescent="0.2">
      <c r="J10" s="6" t="s">
        <v>1219</v>
      </c>
      <c r="K10" s="7">
        <v>29498867</v>
      </c>
    </row>
    <row r="14" spans="1:16" x14ac:dyDescent="0.2">
      <c r="O14" s="5" t="s">
        <v>1218</v>
      </c>
      <c r="P14" t="s">
        <v>1221</v>
      </c>
    </row>
    <row r="15" spans="1:16" x14ac:dyDescent="0.2">
      <c r="O15" s="6" t="s">
        <v>25</v>
      </c>
      <c r="P15" s="7">
        <v>5.2028985507246377</v>
      </c>
    </row>
    <row r="16" spans="1:16" x14ac:dyDescent="0.2">
      <c r="O16" s="8" t="s">
        <v>13</v>
      </c>
      <c r="P16" s="7">
        <v>5.4545454545454541</v>
      </c>
    </row>
    <row r="17" spans="15:16" x14ac:dyDescent="0.2">
      <c r="O17" s="8" t="s">
        <v>20</v>
      </c>
      <c r="P17" s="7">
        <v>5.882352941176471</v>
      </c>
    </row>
    <row r="18" spans="15:16" x14ac:dyDescent="0.2">
      <c r="O18" s="8" t="s">
        <v>63</v>
      </c>
      <c r="P18" s="7">
        <v>4.8888888888888893</v>
      </c>
    </row>
    <row r="19" spans="15:16" x14ac:dyDescent="0.2">
      <c r="O19" s="8" t="s">
        <v>59</v>
      </c>
      <c r="P19" s="7">
        <v>5.4285714285714288</v>
      </c>
    </row>
    <row r="20" spans="15:16" x14ac:dyDescent="0.2">
      <c r="O20" s="8" t="s">
        <v>54</v>
      </c>
      <c r="P20" s="7">
        <v>3.8888888888888888</v>
      </c>
    </row>
    <row r="21" spans="15:16" x14ac:dyDescent="0.2">
      <c r="O21" s="6" t="s">
        <v>80</v>
      </c>
      <c r="P21" s="7">
        <v>4.3026315789473681</v>
      </c>
    </row>
    <row r="22" spans="15:16" x14ac:dyDescent="0.2">
      <c r="O22" s="8" t="s">
        <v>13</v>
      </c>
      <c r="P22" s="7">
        <v>5.384615384615385</v>
      </c>
    </row>
    <row r="23" spans="15:16" x14ac:dyDescent="0.2">
      <c r="O23" s="8" t="s">
        <v>20</v>
      </c>
      <c r="P23" s="7">
        <v>4.333333333333333</v>
      </c>
    </row>
    <row r="24" spans="15:16" x14ac:dyDescent="0.2">
      <c r="O24" s="8" t="s">
        <v>63</v>
      </c>
      <c r="P24" s="7">
        <v>3.8571428571428572</v>
      </c>
    </row>
    <row r="25" spans="15:16" x14ac:dyDescent="0.2">
      <c r="O25" s="8" t="s">
        <v>59</v>
      </c>
      <c r="P25" s="7">
        <v>3.6315789473684212</v>
      </c>
    </row>
    <row r="26" spans="15:16" x14ac:dyDescent="0.2">
      <c r="O26" s="8" t="s">
        <v>54</v>
      </c>
      <c r="P26" s="7">
        <v>4.5999999999999996</v>
      </c>
    </row>
    <row r="27" spans="15:16" x14ac:dyDescent="0.2">
      <c r="O27" s="6" t="s">
        <v>12</v>
      </c>
      <c r="P27" s="7">
        <v>5.32258064516129</v>
      </c>
    </row>
    <row r="28" spans="15:16" x14ac:dyDescent="0.2">
      <c r="O28" s="8" t="s">
        <v>13</v>
      </c>
      <c r="P28" s="7">
        <v>5.1111111111111107</v>
      </c>
    </row>
    <row r="29" spans="15:16" x14ac:dyDescent="0.2">
      <c r="O29" s="8" t="s">
        <v>20</v>
      </c>
      <c r="P29" s="7">
        <v>5.9333333333333336</v>
      </c>
    </row>
    <row r="30" spans="15:16" x14ac:dyDescent="0.2">
      <c r="O30" s="8" t="s">
        <v>63</v>
      </c>
      <c r="P30" s="7">
        <v>5.1111111111111107</v>
      </c>
    </row>
    <row r="31" spans="15:16" x14ac:dyDescent="0.2">
      <c r="O31" s="8" t="s">
        <v>59</v>
      </c>
      <c r="P31" s="7">
        <v>5.2</v>
      </c>
    </row>
    <row r="32" spans="15:16" x14ac:dyDescent="0.2">
      <c r="O32" s="8" t="s">
        <v>54</v>
      </c>
      <c r="P32" s="7">
        <v>5.0999999999999996</v>
      </c>
    </row>
    <row r="33" spans="15:16" x14ac:dyDescent="0.2">
      <c r="O33" s="6" t="s">
        <v>31</v>
      </c>
      <c r="P33" s="7">
        <v>4.7571428571428571</v>
      </c>
    </row>
    <row r="34" spans="15:16" x14ac:dyDescent="0.2">
      <c r="O34" s="8" t="s">
        <v>13</v>
      </c>
      <c r="P34" s="7">
        <v>6</v>
      </c>
    </row>
    <row r="35" spans="15:16" x14ac:dyDescent="0.2">
      <c r="O35" s="8" t="s">
        <v>20</v>
      </c>
      <c r="P35" s="7">
        <v>5.666666666666667</v>
      </c>
    </row>
    <row r="36" spans="15:16" x14ac:dyDescent="0.2">
      <c r="O36" s="8" t="s">
        <v>63</v>
      </c>
      <c r="P36" s="7">
        <v>3.5833333333333335</v>
      </c>
    </row>
    <row r="37" spans="15:16" x14ac:dyDescent="0.2">
      <c r="O37" s="8" t="s">
        <v>59</v>
      </c>
      <c r="P37" s="7">
        <v>4.4444444444444446</v>
      </c>
    </row>
    <row r="38" spans="15:16" x14ac:dyDescent="0.2">
      <c r="O38" s="8" t="s">
        <v>54</v>
      </c>
      <c r="P38" s="7">
        <v>3.8947368421052633</v>
      </c>
    </row>
    <row r="39" spans="15:16" x14ac:dyDescent="0.2">
      <c r="O39" s="6" t="s">
        <v>45</v>
      </c>
      <c r="P39" s="7">
        <v>5.2878787878787881</v>
      </c>
    </row>
    <row r="40" spans="15:16" x14ac:dyDescent="0.2">
      <c r="O40" s="8" t="s">
        <v>13</v>
      </c>
      <c r="P40" s="7">
        <v>4</v>
      </c>
    </row>
    <row r="41" spans="15:16" x14ac:dyDescent="0.2">
      <c r="O41" s="8" t="s">
        <v>20</v>
      </c>
      <c r="P41" s="7">
        <v>6.0769230769230766</v>
      </c>
    </row>
    <row r="42" spans="15:16" x14ac:dyDescent="0.2">
      <c r="O42" s="8" t="s">
        <v>63</v>
      </c>
      <c r="P42" s="7">
        <v>6.4615384615384617</v>
      </c>
    </row>
    <row r="43" spans="15:16" x14ac:dyDescent="0.2">
      <c r="O43" s="8" t="s">
        <v>59</v>
      </c>
      <c r="P43" s="7">
        <v>4.5454545454545459</v>
      </c>
    </row>
    <row r="44" spans="15:16" x14ac:dyDescent="0.2">
      <c r="O44" s="8" t="s">
        <v>54</v>
      </c>
      <c r="P44" s="7">
        <v>5.4285714285714288</v>
      </c>
    </row>
    <row r="45" spans="15:16" x14ac:dyDescent="0.2">
      <c r="O45" s="6" t="s">
        <v>58</v>
      </c>
      <c r="P45" s="7">
        <v>4.8421052631578947</v>
      </c>
    </row>
    <row r="46" spans="15:16" x14ac:dyDescent="0.2">
      <c r="O46" s="8" t="s">
        <v>13</v>
      </c>
      <c r="P46" s="7">
        <v>4.125</v>
      </c>
    </row>
    <row r="47" spans="15:16" x14ac:dyDescent="0.2">
      <c r="O47" s="8" t="s">
        <v>20</v>
      </c>
      <c r="P47" s="7">
        <v>3</v>
      </c>
    </row>
    <row r="48" spans="15:16" x14ac:dyDescent="0.2">
      <c r="O48" s="8" t="s">
        <v>63</v>
      </c>
      <c r="P48" s="7">
        <v>4.7272727272727275</v>
      </c>
    </row>
    <row r="49" spans="15:16" x14ac:dyDescent="0.2">
      <c r="O49" s="8" t="s">
        <v>59</v>
      </c>
      <c r="P49" s="7">
        <v>6.75</v>
      </c>
    </row>
    <row r="50" spans="15:16" x14ac:dyDescent="0.2">
      <c r="O50" s="8" t="s">
        <v>54</v>
      </c>
      <c r="P50" s="7">
        <v>4</v>
      </c>
    </row>
    <row r="51" spans="15:16" x14ac:dyDescent="0.2">
      <c r="O51" s="6" t="s">
        <v>1219</v>
      </c>
      <c r="P51" s="7">
        <v>4.9349999999999996</v>
      </c>
    </row>
  </sheetData>
  <pageMargins left="0.75" right="0.75" top="1" bottom="1" header="0.5" footer="0.5"/>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Employee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jatin</cp:lastModifiedBy>
  <dcterms:created xsi:type="dcterms:W3CDTF">2025-10-23T07:27:51Z</dcterms:created>
  <dcterms:modified xsi:type="dcterms:W3CDTF">2025-10-27T08:21:58Z</dcterms:modified>
</cp:coreProperties>
</file>